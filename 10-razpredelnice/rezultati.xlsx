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j02255\RP\racunalniski_praktikum\10-razpredelnice\"/>
    </mc:Choice>
  </mc:AlternateContent>
  <xr:revisionPtr revIDLastSave="0" documentId="13_ncr:1_{0D5ADE32-6074-4DC9-9A15-DD14FEE491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5" i="1"/>
  <c r="J4" i="1"/>
  <c r="J5" i="1"/>
  <c r="J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I3" i="1"/>
</calcChain>
</file>

<file path=xl/sharedStrings.xml><?xml version="1.0" encoding="utf-8"?>
<sst xmlns="http://schemas.openxmlformats.org/spreadsheetml/2006/main" count="105" uniqueCount="71">
  <si>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</si>
  <si>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</si>
  <si>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</si>
  <si>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</si>
  <si>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</si>
  <si>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</si>
  <si>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</si>
  <si>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</si>
  <si>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</si>
  <si>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</si>
  <si>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</si>
  <si>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</si>
  <si>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</si>
  <si>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</si>
  <si>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</si>
  <si>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</si>
  <si>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</si>
  <si>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</si>
  <si>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</si>
  <si>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</si>
  <si>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</si>
  <si>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</si>
  <si>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</si>
  <si>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</si>
  <si>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</si>
  <si>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</si>
  <si>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</si>
  <si>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</si>
  <si>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</si>
  <si>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</si>
  <si>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</si>
  <si>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</si>
  <si>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</si>
  <si>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</si>
  <si>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</si>
  <si>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</si>
  <si>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</si>
  <si>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</si>
  <si>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</si>
  <si>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</si>
  <si>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</si>
  <si>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</si>
  <si>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</si>
  <si>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</si>
  <si>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</si>
  <si>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</si>
  <si>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</si>
  <si>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</si>
  <si>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</si>
  <si>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</si>
  <si>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</si>
  <si>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</si>
  <si>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</si>
  <si>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</si>
  <si>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</si>
  <si>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</si>
  <si>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</si>
  <si>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</si>
  <si>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</si>
  <si>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</si>
  <si>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</si>
  <si>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</si>
  <si>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</si>
  <si>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</si>
  <si>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</si>
  <si>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</si>
  <si>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</si>
  <si>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Maksimum</t>
  </si>
  <si>
    <t>Minimum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</si>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</sst>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Velikost skupin</a:t>
            </a:r>
          </a:p>
        </c:rich>
      </c:tx>
      <c:layout>
        <c:manualLayout>
          <c:xMode val="edge"/>
          <c:yMode val="edge"/>
          <c:x val="0.3709582239720035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38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56-4C63-8DE1-F5166D28AD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5456-4C63-8DE1-F5166D28AD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456-4C63-8DE1-F5166D28AD77}"/>
              </c:ext>
            </c:extLst>
          </c:dPt>
          <c:dLbls>
            <c:dLbl>
              <c:idx val="0"/>
              <c:layout>
                <c:manualLayout>
                  <c:x val="4.7222222222222221E-2"/>
                  <c:y val="-2.777777777777777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56-4C63-8DE1-F5166D28AD77}"/>
                </c:ext>
              </c:extLst>
            </c:dLbl>
            <c:dLbl>
              <c:idx val="2"/>
              <c:layout>
                <c:manualLayout>
                  <c:x val="-0.05"/>
                  <c:y val="-2.777777777777782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56-4C63-8DE1-F5166D28AD77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6-4C63-8DE1-F5166D28A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Število</a:t>
            </a:r>
            <a:r>
              <a:rPr lang="en-US" b="1" baseline="0">
                <a:solidFill>
                  <a:sysClr val="windowText" lastClr="000000"/>
                </a:solidFill>
              </a:rPr>
              <a:t> točk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4-4EC1-A47E-F6E8728085A5}"/>
            </c:ext>
          </c:extLst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4-4EC1-A47E-F6E872808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235872"/>
        <c:axId val="996237120"/>
      </c:barChart>
      <c:catAx>
        <c:axId val="99623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996237120"/>
        <c:crosses val="autoZero"/>
        <c:auto val="1"/>
        <c:lblAlgn val="ctr"/>
        <c:lblOffset val="100"/>
        <c:noMultiLvlLbl val="0"/>
      </c:catAx>
      <c:valAx>
        <c:axId val="99623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99623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11</xdr:row>
      <xdr:rowOff>109537</xdr:rowOff>
    </xdr:from>
    <xdr:to>
      <xdr:col>12</xdr:col>
      <xdr:colOff>571500</xdr:colOff>
      <xdr:row>22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3717C6-91D8-4820-9F5C-4298F1C93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22</xdr:row>
      <xdr:rowOff>123825</xdr:rowOff>
    </xdr:from>
    <xdr:to>
      <xdr:col>12</xdr:col>
      <xdr:colOff>514350</xdr:colOff>
      <xdr:row>33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D77881-F631-428B-81A6-4C289F419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nik, Matej" refreshedDate="45996.549624421299" createdVersion="7" refreshedVersion="7" minRefreshableVersion="3" recordCount="28" xr:uid="{945074FC-7D38-4C33-B430-A8B140227899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9809F-1E04-4141-B51D-CBE144CBD9EE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H7:L11" firstHeaderRow="0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3" subtotal="count" baseField="2" baseItem="0"/>
    <dataField name="Povprečje" fld="3" subtotal="average" baseField="2" baseItem="0" numFmtId="2"/>
    <dataField name="Maksimum" fld="3" subtotal="max" baseField="2" baseItem="0" numFmtId="1"/>
    <dataField name="Minimum" fld="3" subtotal="min" baseField="2" baseItem="1" numFmtId="1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18">
      <calculatedColumnFormula>IF(Rezultati[[#This Row],[Točke]]&gt;=50,"da","ne")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17">
      <calculatedColumnFormula>COUNTIF(D:D, Skupine[[#This Row],[Test]])</calculatedColumnFormula>
    </tableColumn>
    <tableColumn id="3" xr3:uid="{49F9352C-9597-4E44-8122-AF1CE6CE856F}" name="2022" dataDxfId="16">
      <calculatedColumnFormula>AVERAGEIF(D:D,Skupine[[#This Row],[Test]],E:E)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T25" sqref="T25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9.42578125" bestFit="1" customWidth="1"/>
    <col min="10" max="10" width="9.85546875" bestFit="1" customWidth="1"/>
    <col min="11" max="11" width="10.85546875" bestFit="1" customWidth="1"/>
    <col min="12" max="12" width="9.71093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IF(Rezultati[[#This Row],[Točke]]&gt;=50,"da","ne")</f>
        <v>ne</v>
      </c>
      <c r="H3" t="s">
        <v>9</v>
      </c>
      <c r="I3">
        <f>COUNTIF(D:D, Skupine[[#This Row],[Test]])</f>
        <v>9</v>
      </c>
      <c r="J3" s="2">
        <f>AVERAGEIF(D:D,Skupine[[#This Row],[Test]],E:E)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>IF(Rezultati[[#This Row],[Točke]]&gt;=50,"da","ne")</f>
        <v>ne</v>
      </c>
      <c r="H4" t="s">
        <v>12</v>
      </c>
      <c r="I4">
        <f>COUNTIF(D:D, Skupine[[#This Row],[Test]])</f>
        <v>12</v>
      </c>
      <c r="J4" s="2">
        <f>AVERAGEIF(D:D,Skupine[[#This Row],[Test]],E:E)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Row],[Točke]]&gt;=50,"da","ne")</f>
        <v>ne</v>
      </c>
      <c r="H5" t="s">
        <v>15</v>
      </c>
      <c r="I5">
        <f>COUNTIF(D:D, Skupine[[#This Row],[Test]])</f>
        <v>7</v>
      </c>
      <c r="J5" s="2">
        <f>AVERAGEIF(D:D,Skupine[[#This Row],[Test]],E:E)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>IF(Rezultati[[#This Row],[Točke]]&gt;=50,"da","ne")</f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>IF(Rezultati[[#This Row],[Točke]]&gt;=50,"da","ne")</f>
        <v>da</v>
      </c>
      <c r="H7" s="4" t="s">
        <v>69</v>
      </c>
      <c r="I7" t="s">
        <v>6</v>
      </c>
      <c r="J7" t="s">
        <v>66</v>
      </c>
      <c r="K7" t="s">
        <v>67</v>
      </c>
      <c r="L7" t="s">
        <v>68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>IF(Rezultati[[#This Row],[Točke]]&gt;=50,"da","ne")</f>
        <v>da</v>
      </c>
      <c r="H8" s="1" t="s">
        <v>9</v>
      </c>
      <c r="I8" s="3">
        <v>9</v>
      </c>
      <c r="J8" s="2">
        <v>58.222222222222221</v>
      </c>
      <c r="K8" s="5">
        <v>94</v>
      </c>
      <c r="L8" s="5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>IF(Rezultati[[#This Row],[Točke]]&gt;=50,"da","ne")</f>
        <v>da</v>
      </c>
      <c r="H9" s="1" t="s">
        <v>12</v>
      </c>
      <c r="I9" s="3">
        <v>12</v>
      </c>
      <c r="J9" s="2">
        <v>66.5</v>
      </c>
      <c r="K9" s="5">
        <v>100</v>
      </c>
      <c r="L9" s="5">
        <v>36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Row],[Točke]]&gt;=50,"da","ne")</f>
        <v>ne</v>
      </c>
      <c r="H10" s="1" t="s">
        <v>15</v>
      </c>
      <c r="I10" s="3">
        <v>7</v>
      </c>
      <c r="J10" s="2">
        <v>47.714285714285715</v>
      </c>
      <c r="K10" s="5">
        <v>76</v>
      </c>
      <c r="L10" s="5">
        <v>26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Row],[Točke]]&gt;=50,"da","ne")</f>
        <v>ne</v>
      </c>
      <c r="H11" s="1" t="s">
        <v>70</v>
      </c>
      <c r="I11" s="3">
        <v>28</v>
      </c>
      <c r="J11" s="2">
        <v>59.142857142857146</v>
      </c>
      <c r="K11" s="5">
        <v>100</v>
      </c>
      <c r="L11" s="5">
        <v>26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Row],[Točke]]&gt;=50,"da","ne")</f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Row],[Točke]]&gt;=50,"da","ne")</f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Row],[Točke]]&gt;=50,"da","ne")</f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Row],[Točke]]&gt;=50,"da","ne")</f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Row],[Točke]]&gt;=50,"da","ne")</f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Row],[Točke]]&gt;=50,"da","ne")</f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Row],[Točke]]&gt;=50,"da","ne")</f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Row],[Točke]]&gt;=50,"da","ne")</f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Row],[Točke]]&gt;=50,"da","ne")</f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Row],[Točke]]&gt;=50,"da","ne")</f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Row],[Točke]]&gt;=50,"da","ne")</f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Row],[Točke]]&gt;=50,"da","ne")</f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Row],[Točke]]&gt;=50,"da","ne")</f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Row],[Točke]]&gt;=50,"da","ne")</f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Row],[Točke]]&gt;=50,"da","ne")</f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Row],[Točke]]&gt;=50,"da","ne")</f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Row],[Točke]]&gt;=50,"da","ne")</f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Row],[Točke]]&gt;=50,"da","ne")</f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Row],[Točke]]&gt;=50,"da","ne")</f>
        <v>ne</v>
      </c>
    </row>
  </sheetData>
  <conditionalFormatting sqref="B3:C30 E3:E30">
    <cfRule type="expression" dxfId="5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Jamnik, Matej</cp:lastModifiedBy>
  <dcterms:created xsi:type="dcterms:W3CDTF">2007-11-10T02:36:44Z</dcterms:created>
  <dcterms:modified xsi:type="dcterms:W3CDTF">2025-12-05T12:43:36Z</dcterms:modified>
</cp:coreProperties>
</file>