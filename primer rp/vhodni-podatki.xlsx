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ps\RP\racunalniski_praktikum\primer rp\"/>
    </mc:Choice>
  </mc:AlternateContent>
  <xr:revisionPtr revIDLastSave="0" documentId="8_{24A86306-192D-4247-8190-B4F19129BB8D}" xr6:coauthVersionLast="47" xr6:coauthVersionMax="47" xr10:uidLastSave="{00000000-0000-0000-0000-000000000000}"/>
  <bookViews>
    <workbookView xWindow="-108" yWindow="-108" windowWidth="23256" windowHeight="12456" xr2:uid="{D9349D9D-AF6E-4FD5-82E9-2711406D051D}"/>
  </bookViews>
  <sheets>
    <sheet name="vhodni-podatki (3)" sheetId="4" r:id="rId1"/>
  </sheets>
  <definedNames>
    <definedName name="ExternalData_1" localSheetId="0" hidden="1">'vhodni-podatki (3)'!$A$1:$E$33</definedName>
  </definedNames>
  <calcPr calcId="0"/>
</workbook>
</file>

<file path=xl/calcChain.xml><?xml version="1.0" encoding="utf-8"?>
<calcChain xmlns="http://schemas.openxmlformats.org/spreadsheetml/2006/main">
  <c r="E34" i="4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97390-E982-4A0E-8782-2DE78366FD0C}" keepAlive="1" name="Poizvedba – vhodni-podatki" description="Povezava s poizvedbo »vhodni-podatki« v delovnem zvezku." type="5" refreshedVersion="0" background="1">
    <dbPr connection="Provider=Microsoft.Mashup.OleDb.1;Data Source=$Workbook$;Location=vhodni-podatki;Extended Properties=&quot;&quot;" command="SELECT * FROM [vhodni-podatki]"/>
  </connection>
  <connection id="2" xr16:uid="{9A729C79-5695-4B71-8417-648A69C1C78C}" keepAlive="1" name="Poizvedba – vhodni-podatki (2)" description="Povezava s poizvedbo »vhodni-podatki (2)« v delovnem zvezku." type="5" refreshedVersion="8" background="1" saveData="1">
    <dbPr connection="Provider=Microsoft.Mashup.OleDb.1;Data Source=$Workbook$;Location=&quot;vhodni-podatki (2)&quot;;Extended Properties=&quot;&quot;" command="SELECT * FROM [vhodni-podatki (2)]"/>
  </connection>
</connections>
</file>

<file path=xl/sharedStrings.xml><?xml version="1.0" encoding="utf-8"?>
<sst xmlns="http://schemas.openxmlformats.org/spreadsheetml/2006/main" count="73" uniqueCount="43">
  <si>
    <t>Vrsta</t>
  </si>
  <si>
    <t>Višina (bc)</t>
  </si>
  <si>
    <t>Teža (t oz)</t>
  </si>
  <si>
    <t>Tip</t>
  </si>
  <si>
    <t>Hitrost</t>
  </si>
  <si>
    <t>Bulbasaur</t>
  </si>
  <si>
    <t>Običajen</t>
  </si>
  <si>
    <t>Venusaur</t>
  </si>
  <si>
    <t>Leteč</t>
  </si>
  <si>
    <t>Charmander</t>
  </si>
  <si>
    <t>Charizard</t>
  </si>
  <si>
    <t>Squirtle</t>
  </si>
  <si>
    <t>Blastoise</t>
  </si>
  <si>
    <t>Butterfree</t>
  </si>
  <si>
    <t>Pidgey</t>
  </si>
  <si>
    <t>Pidgeot</t>
  </si>
  <si>
    <t>Pikachu</t>
  </si>
  <si>
    <t>Sandslash</t>
  </si>
  <si>
    <t>Ognjen</t>
  </si>
  <si>
    <t>Nidoking</t>
  </si>
  <si>
    <t>Clefable</t>
  </si>
  <si>
    <t>Ninetales</t>
  </si>
  <si>
    <t>Golbat</t>
  </si>
  <si>
    <t>Jasnoviden</t>
  </si>
  <si>
    <t>Dugtrio</t>
  </si>
  <si>
    <t>Meowth</t>
  </si>
  <si>
    <t>Machamp</t>
  </si>
  <si>
    <t>Golem</t>
  </si>
  <si>
    <t>Rapidash</t>
  </si>
  <si>
    <t>Magneton</t>
  </si>
  <si>
    <t>Gengar</t>
  </si>
  <si>
    <t>Onix</t>
  </si>
  <si>
    <t>Rhydon</t>
  </si>
  <si>
    <t>Gyarados</t>
  </si>
  <si>
    <t>Ditto</t>
  </si>
  <si>
    <t>Eevee</t>
  </si>
  <si>
    <t>Vaporeon</t>
  </si>
  <si>
    <t>Jolteon</t>
  </si>
  <si>
    <t>Flareon</t>
  </si>
  <si>
    <t>Snorlax</t>
  </si>
  <si>
    <t>Dragonite</t>
  </si>
  <si>
    <t>Gibalna količina</t>
  </si>
  <si>
    <t>MAX: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</si>
</sst>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13" fillId="33" borderId="10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169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7">
    <dxf>
      <numFmt numFmtId="169" formatCode="0.0"/>
    </dxf>
    <dxf>
      <numFmt numFmtId="0" formatCode="General"/>
    </dxf>
    <dxf>
      <numFmt numFmtId="0" formatCode="General"/>
    </dxf>
    <dxf>
      <font>
        <b/>
        <i val="0"/>
      </font>
    </dxf>
    <dxf>
      <numFmt numFmtId="169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Teža</a:t>
            </a:r>
            <a:r>
              <a:rPr lang="en-US" baseline="0"/>
              <a:t> in višina</a:t>
            </a:r>
            <a:endParaRPr lang="en-US"/>
          </a:p>
        </c:rich>
      </c:tx>
      <c:layout>
        <c:manualLayout>
          <c:xMode val="edge"/>
          <c:yMode val="edge"/>
          <c:x val="0.36544444444444446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'vhodni-podatki (3)'!$K$37</c:f>
              <c:strCache>
                <c:ptCount val="1"/>
                <c:pt idx="0">
                  <c:v>Višina (bc)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'vhodni-podatki (3)'!$J$38:$J$69</c:f>
              <c:numCache>
                <c:formatCode>General</c:formatCode>
                <c:ptCount val="32"/>
                <c:pt idx="0">
                  <c:v>222</c:v>
                </c:pt>
                <c:pt idx="1">
                  <c:v>3215</c:v>
                </c:pt>
                <c:pt idx="2">
                  <c:v>273</c:v>
                </c:pt>
                <c:pt idx="3">
                  <c:v>2910</c:v>
                </c:pt>
                <c:pt idx="4">
                  <c:v>289</c:v>
                </c:pt>
                <c:pt idx="5">
                  <c:v>2749</c:v>
                </c:pt>
                <c:pt idx="6">
                  <c:v>1029</c:v>
                </c:pt>
                <c:pt idx="7">
                  <c:v>58</c:v>
                </c:pt>
                <c:pt idx="8">
                  <c:v>1270</c:v>
                </c:pt>
                <c:pt idx="9">
                  <c:v>193</c:v>
                </c:pt>
                <c:pt idx="10">
                  <c:v>948</c:v>
                </c:pt>
                <c:pt idx="11">
                  <c:v>1993</c:v>
                </c:pt>
                <c:pt idx="12">
                  <c:v>1286</c:v>
                </c:pt>
                <c:pt idx="13">
                  <c:v>640</c:v>
                </c:pt>
                <c:pt idx="14">
                  <c:v>1768</c:v>
                </c:pt>
                <c:pt idx="15">
                  <c:v>1071</c:v>
                </c:pt>
                <c:pt idx="16">
                  <c:v>135</c:v>
                </c:pt>
                <c:pt idx="17">
                  <c:v>4180</c:v>
                </c:pt>
                <c:pt idx="18">
                  <c:v>9645</c:v>
                </c:pt>
                <c:pt idx="19">
                  <c:v>3054</c:v>
                </c:pt>
                <c:pt idx="20">
                  <c:v>1929</c:v>
                </c:pt>
                <c:pt idx="21">
                  <c:v>1302</c:v>
                </c:pt>
                <c:pt idx="22">
                  <c:v>6752</c:v>
                </c:pt>
                <c:pt idx="23">
                  <c:v>3858</c:v>
                </c:pt>
                <c:pt idx="24">
                  <c:v>7555</c:v>
                </c:pt>
                <c:pt idx="25">
                  <c:v>129</c:v>
                </c:pt>
                <c:pt idx="26">
                  <c:v>209</c:v>
                </c:pt>
                <c:pt idx="27">
                  <c:v>932</c:v>
                </c:pt>
                <c:pt idx="28">
                  <c:v>788</c:v>
                </c:pt>
                <c:pt idx="29">
                  <c:v>804</c:v>
                </c:pt>
                <c:pt idx="30">
                  <c:v>14789</c:v>
                </c:pt>
                <c:pt idx="31">
                  <c:v>6752</c:v>
                </c:pt>
              </c:numCache>
            </c:numRef>
          </c:xVal>
          <c:yVal>
            <c:numRef>
              <c:f>'vhodni-podatki (3)'!$K$38:$K$69</c:f>
              <c:numCache>
                <c:formatCode>General</c:formatCode>
                <c:ptCount val="32"/>
                <c:pt idx="0">
                  <c:v>83</c:v>
                </c:pt>
                <c:pt idx="1">
                  <c:v>236</c:v>
                </c:pt>
                <c:pt idx="2">
                  <c:v>71</c:v>
                </c:pt>
                <c:pt idx="3">
                  <c:v>201</c:v>
                </c:pt>
                <c:pt idx="4">
                  <c:v>59</c:v>
                </c:pt>
                <c:pt idx="5">
                  <c:v>189</c:v>
                </c:pt>
                <c:pt idx="6">
                  <c:v>130</c:v>
                </c:pt>
                <c:pt idx="7">
                  <c:v>35</c:v>
                </c:pt>
                <c:pt idx="8">
                  <c:v>177</c:v>
                </c:pt>
                <c:pt idx="9">
                  <c:v>47</c:v>
                </c:pt>
                <c:pt idx="10">
                  <c:v>118</c:v>
                </c:pt>
                <c:pt idx="11">
                  <c:v>165</c:v>
                </c:pt>
                <c:pt idx="12">
                  <c:v>154</c:v>
                </c:pt>
                <c:pt idx="13">
                  <c:v>130</c:v>
                </c:pt>
                <c:pt idx="14">
                  <c:v>189</c:v>
                </c:pt>
                <c:pt idx="15">
                  <c:v>83</c:v>
                </c:pt>
                <c:pt idx="16">
                  <c:v>47</c:v>
                </c:pt>
                <c:pt idx="17">
                  <c:v>189</c:v>
                </c:pt>
                <c:pt idx="18">
                  <c:v>165</c:v>
                </c:pt>
                <c:pt idx="19">
                  <c:v>201</c:v>
                </c:pt>
                <c:pt idx="20">
                  <c:v>118</c:v>
                </c:pt>
                <c:pt idx="21">
                  <c:v>177</c:v>
                </c:pt>
                <c:pt idx="22">
                  <c:v>1039</c:v>
                </c:pt>
                <c:pt idx="23">
                  <c:v>224</c:v>
                </c:pt>
                <c:pt idx="24">
                  <c:v>768</c:v>
                </c:pt>
                <c:pt idx="25">
                  <c:v>35</c:v>
                </c:pt>
                <c:pt idx="26">
                  <c:v>35</c:v>
                </c:pt>
                <c:pt idx="27">
                  <c:v>118</c:v>
                </c:pt>
                <c:pt idx="28">
                  <c:v>94</c:v>
                </c:pt>
                <c:pt idx="29">
                  <c:v>106</c:v>
                </c:pt>
                <c:pt idx="30">
                  <c:v>248</c:v>
                </c:pt>
                <c:pt idx="31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C-4B74-93DA-C6CBBAC9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074303"/>
        <c:axId val="1116073343"/>
      </c:scatterChart>
      <c:valAx>
        <c:axId val="111607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Teža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16073343"/>
        <c:crosses val="autoZero"/>
        <c:crossBetween val="midCat"/>
      </c:valAx>
      <c:valAx>
        <c:axId val="11160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Višina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1607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0</xdr:row>
      <xdr:rowOff>0</xdr:rowOff>
    </xdr:from>
    <xdr:to>
      <xdr:col>21</xdr:col>
      <xdr:colOff>89034</xdr:colOff>
      <xdr:row>23</xdr:row>
      <xdr:rowOff>61009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C1E16923-18D1-B083-901E-D65B3E82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3640" y="0"/>
          <a:ext cx="7922394" cy="4267249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27</xdr:row>
      <xdr:rowOff>57150</xdr:rowOff>
    </xdr:from>
    <xdr:to>
      <xdr:col>21</xdr:col>
      <xdr:colOff>45720</xdr:colOff>
      <xdr:row>42</xdr:row>
      <xdr:rowOff>57150</xdr:rowOff>
    </xdr:to>
    <xdr:graphicFrame macro="">
      <xdr:nvGraphicFramePr>
        <xdr:cNvPr id="10" name="Grafikon 9">
          <a:extLst>
            <a:ext uri="{FF2B5EF4-FFF2-40B4-BE49-F238E27FC236}">
              <a16:creationId xmlns:a16="http://schemas.microsoft.com/office/drawing/2014/main" id="{0EDA5C55-D4F4-4E7D-90D7-9CF79455B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60B8AB3-3D6C-419C-98F4-1129831B5EB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Vrsta" tableColumnId="1"/>
      <queryTableField id="2" name="Višina (bc)" tableColumnId="2"/>
      <queryTableField id="3" name="Teža (t oz)" tableColumnId="3"/>
      <queryTableField id="4" name="Tip" tableColumnId="4"/>
      <queryTableField id="5" name="Hitrost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079C9-AB3A-4524-A014-F8AF918ADB2E}" name="vhodni_podatki__2" displayName="vhodni_podatki__2" ref="A1:F34" tableType="queryTable" totalsRowCount="1">
  <autoFilter ref="A1:F33" xr:uid="{240079C9-AB3A-4524-A014-F8AF918ADB2E}"/>
  <tableColumns count="6">
    <tableColumn id="1" xr3:uid="{7E61A530-C490-40B8-86E4-0CEEC8DDC506}" uniqueName="1" name="Vrsta" queryTableFieldId="1" dataDxfId="6" totalsRowDxfId="2"/>
    <tableColumn id="2" xr3:uid="{2D4D0AA3-E06A-4203-9D85-B2FA89EA4772}" uniqueName="2" name="Višina (bc)" queryTableFieldId="2"/>
    <tableColumn id="3" xr3:uid="{FA601DA1-780B-43AC-A405-11BAEFA026AA}" uniqueName="3" name="Teža (t oz)" queryTableFieldId="3"/>
    <tableColumn id="4" xr3:uid="{90120659-0A8A-4D00-B1F6-89E0623D0559}" uniqueName="4" name="Tip" totalsRowLabel="MAX:" queryTableFieldId="4" dataDxfId="5" totalsRowDxfId="1"/>
    <tableColumn id="5" xr3:uid="{75FD415A-56C1-4ABB-A966-DC6D4E52809E}" uniqueName="5" name="Hitrost" totalsRowFunction="custom" queryTableFieldId="5">
      <totalsRowFormula>MAX(vhodni_podatki__2[Hitrost])</totalsRowFormula>
    </tableColumn>
    <tableColumn id="6" xr3:uid="{90E2A046-E63B-4147-87B1-8F6CFE987014}" uniqueName="6" name="Gibalna količina" queryTableFieldId="6" dataDxfId="4" totalsRowDxfId="0">
      <calculatedColumnFormula>vhodni_podatki__2[[#This Row],[Teža (t oz)]]*vhodni_podatki__2[[#This Row],[Hitrost]]/32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E7FE-6A6F-4166-8D3F-69A51A9D8FAC}">
  <dimension ref="A1:K69"/>
  <sheetViews>
    <sheetView tabSelected="1" workbookViewId="0">
      <selection activeCell="F39" sqref="F39"/>
    </sheetView>
  </sheetViews>
  <sheetFormatPr defaultRowHeight="14.4" x14ac:dyDescent="0.3"/>
  <cols>
    <col min="1" max="1" width="11.109375" bestFit="1" customWidth="1"/>
    <col min="2" max="2" width="12.109375" bestFit="1" customWidth="1"/>
    <col min="3" max="3" width="11.5546875" bestFit="1" customWidth="1"/>
    <col min="4" max="4" width="9.77734375" bestFit="1" customWidth="1"/>
    <col min="5" max="5" width="9" bestFit="1" customWidth="1"/>
    <col min="6" max="6" width="1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 spans="1:6" x14ac:dyDescent="0.3">
      <c r="A2" s="1" t="s">
        <v>5</v>
      </c>
      <c r="B2">
        <v>83</v>
      </c>
      <c r="C2">
        <v>222</v>
      </c>
      <c r="D2" s="1" t="s">
        <v>6</v>
      </c>
      <c r="E2">
        <v>85</v>
      </c>
      <c r="F2" s="5">
        <f>vhodni_podatki__2[[#This Row],[Teža (t oz)]]*vhodni_podatki__2[[#This Row],[Hitrost]]/32</f>
        <v>589.6875</v>
      </c>
    </row>
    <row r="3" spans="1:6" x14ac:dyDescent="0.3">
      <c r="A3" s="1" t="s">
        <v>7</v>
      </c>
      <c r="B3">
        <v>236</v>
      </c>
      <c r="C3">
        <v>3215</v>
      </c>
      <c r="D3" s="1" t="s">
        <v>8</v>
      </c>
      <c r="E3">
        <v>123</v>
      </c>
      <c r="F3" s="5">
        <f>vhodni_podatki__2[[#This Row],[Teža (t oz)]]*vhodni_podatki__2[[#This Row],[Hitrost]]/32</f>
        <v>12357.65625</v>
      </c>
    </row>
    <row r="4" spans="1:6" x14ac:dyDescent="0.3">
      <c r="A4" s="1" t="s">
        <v>9</v>
      </c>
      <c r="B4">
        <v>71</v>
      </c>
      <c r="C4">
        <v>273</v>
      </c>
      <c r="D4" s="1" t="s">
        <v>6</v>
      </c>
      <c r="E4">
        <v>85</v>
      </c>
      <c r="F4" s="5">
        <f>vhodni_podatki__2[[#This Row],[Teža (t oz)]]*vhodni_podatki__2[[#This Row],[Hitrost]]/32</f>
        <v>725.15625</v>
      </c>
    </row>
    <row r="5" spans="1:6" x14ac:dyDescent="0.3">
      <c r="A5" s="1" t="s">
        <v>10</v>
      </c>
      <c r="B5">
        <v>201</v>
      </c>
      <c r="C5">
        <v>2910</v>
      </c>
      <c r="D5" s="1" t="s">
        <v>6</v>
      </c>
      <c r="E5">
        <v>85</v>
      </c>
      <c r="F5" s="5">
        <f>vhodni_podatki__2[[#This Row],[Teža (t oz)]]*vhodni_podatki__2[[#This Row],[Hitrost]]/32</f>
        <v>7729.6875</v>
      </c>
    </row>
    <row r="6" spans="1:6" x14ac:dyDescent="0.3">
      <c r="A6" s="1" t="s">
        <v>11</v>
      </c>
      <c r="B6">
        <v>59</v>
      </c>
      <c r="C6">
        <v>289</v>
      </c>
      <c r="D6" s="1" t="s">
        <v>8</v>
      </c>
      <c r="E6">
        <v>123</v>
      </c>
      <c r="F6" s="5">
        <f>vhodni_podatki__2[[#This Row],[Teža (t oz)]]*vhodni_podatki__2[[#This Row],[Hitrost]]/32</f>
        <v>1110.84375</v>
      </c>
    </row>
    <row r="7" spans="1:6" x14ac:dyDescent="0.3">
      <c r="A7" s="1" t="s">
        <v>12</v>
      </c>
      <c r="B7">
        <v>189</v>
      </c>
      <c r="C7">
        <v>2749</v>
      </c>
      <c r="D7" s="1" t="s">
        <v>6</v>
      </c>
      <c r="E7">
        <v>85</v>
      </c>
      <c r="F7" s="5">
        <f>vhodni_podatki__2[[#This Row],[Teža (t oz)]]*vhodni_podatki__2[[#This Row],[Hitrost]]/32</f>
        <v>7302.03125</v>
      </c>
    </row>
    <row r="8" spans="1:6" x14ac:dyDescent="0.3">
      <c r="A8" s="1" t="s">
        <v>13</v>
      </c>
      <c r="B8">
        <v>130</v>
      </c>
      <c r="C8">
        <v>1029</v>
      </c>
      <c r="D8" s="1" t="s">
        <v>6</v>
      </c>
      <c r="E8">
        <v>85</v>
      </c>
      <c r="F8" s="5">
        <f>vhodni_podatki__2[[#This Row],[Teža (t oz)]]*vhodni_podatki__2[[#This Row],[Hitrost]]/32</f>
        <v>2733.28125</v>
      </c>
    </row>
    <row r="9" spans="1:6" x14ac:dyDescent="0.3">
      <c r="A9" s="1" t="s">
        <v>14</v>
      </c>
      <c r="B9">
        <v>35</v>
      </c>
      <c r="C9">
        <v>58</v>
      </c>
      <c r="D9" s="1" t="s">
        <v>6</v>
      </c>
      <c r="E9">
        <v>55</v>
      </c>
      <c r="F9" s="5">
        <f>vhodni_podatki__2[[#This Row],[Teža (t oz)]]*vhodni_podatki__2[[#This Row],[Hitrost]]/32</f>
        <v>99.6875</v>
      </c>
    </row>
    <row r="10" spans="1:6" x14ac:dyDescent="0.3">
      <c r="A10" s="1" t="s">
        <v>15</v>
      </c>
      <c r="B10">
        <v>177</v>
      </c>
      <c r="C10">
        <v>1270</v>
      </c>
      <c r="D10" s="1" t="s">
        <v>6</v>
      </c>
      <c r="E10">
        <v>55</v>
      </c>
      <c r="F10" s="5">
        <f>vhodni_podatki__2[[#This Row],[Teža (t oz)]]*vhodni_podatki__2[[#This Row],[Hitrost]]/32</f>
        <v>2182.8125</v>
      </c>
    </row>
    <row r="11" spans="1:6" x14ac:dyDescent="0.3">
      <c r="A11" s="1" t="s">
        <v>16</v>
      </c>
      <c r="B11">
        <v>47</v>
      </c>
      <c r="C11">
        <v>193</v>
      </c>
      <c r="D11" s="1" t="s">
        <v>6</v>
      </c>
      <c r="E11">
        <v>55</v>
      </c>
      <c r="F11" s="5">
        <f>vhodni_podatki__2[[#This Row],[Teža (t oz)]]*vhodni_podatki__2[[#This Row],[Hitrost]]/32</f>
        <v>331.71875</v>
      </c>
    </row>
    <row r="12" spans="1:6" x14ac:dyDescent="0.3">
      <c r="A12" s="1" t="s">
        <v>17</v>
      </c>
      <c r="B12">
        <v>118</v>
      </c>
      <c r="C12">
        <v>948</v>
      </c>
      <c r="D12" s="1" t="s">
        <v>18</v>
      </c>
      <c r="E12">
        <v>100</v>
      </c>
      <c r="F12" s="5">
        <f>vhodni_podatki__2[[#This Row],[Teža (t oz)]]*vhodni_podatki__2[[#This Row],[Hitrost]]/32</f>
        <v>2962.5</v>
      </c>
    </row>
    <row r="13" spans="1:6" x14ac:dyDescent="0.3">
      <c r="A13" s="1" t="s">
        <v>19</v>
      </c>
      <c r="B13">
        <v>165</v>
      </c>
      <c r="C13">
        <v>1993</v>
      </c>
      <c r="D13" s="1" t="s">
        <v>6</v>
      </c>
      <c r="E13">
        <v>55</v>
      </c>
      <c r="F13" s="5">
        <f>vhodni_podatki__2[[#This Row],[Teža (t oz)]]*vhodni_podatki__2[[#This Row],[Hitrost]]/32</f>
        <v>3425.46875</v>
      </c>
    </row>
    <row r="14" spans="1:6" x14ac:dyDescent="0.3">
      <c r="A14" s="1" t="s">
        <v>20</v>
      </c>
      <c r="B14">
        <v>154</v>
      </c>
      <c r="C14">
        <v>1286</v>
      </c>
      <c r="D14" s="1" t="s">
        <v>6</v>
      </c>
      <c r="E14">
        <v>85</v>
      </c>
      <c r="F14" s="5">
        <f>vhodni_podatki__2[[#This Row],[Teža (t oz)]]*vhodni_podatki__2[[#This Row],[Hitrost]]/32</f>
        <v>3415.9375</v>
      </c>
    </row>
    <row r="15" spans="1:6" x14ac:dyDescent="0.3">
      <c r="A15" s="1" t="s">
        <v>21</v>
      </c>
      <c r="B15">
        <v>130</v>
      </c>
      <c r="C15">
        <v>640</v>
      </c>
      <c r="D15" s="1" t="s">
        <v>6</v>
      </c>
      <c r="E15">
        <v>55</v>
      </c>
      <c r="F15" s="5">
        <f>vhodni_podatki__2[[#This Row],[Teža (t oz)]]*vhodni_podatki__2[[#This Row],[Hitrost]]/32</f>
        <v>1100</v>
      </c>
    </row>
    <row r="16" spans="1:6" x14ac:dyDescent="0.3">
      <c r="A16" s="1" t="s">
        <v>22</v>
      </c>
      <c r="B16">
        <v>189</v>
      </c>
      <c r="C16">
        <v>1768</v>
      </c>
      <c r="D16" s="1" t="s">
        <v>23</v>
      </c>
      <c r="E16">
        <v>110</v>
      </c>
      <c r="F16" s="5">
        <f>vhodni_podatki__2[[#This Row],[Teža (t oz)]]*vhodni_podatki__2[[#This Row],[Hitrost]]/32</f>
        <v>6077.5</v>
      </c>
    </row>
    <row r="17" spans="1:6" x14ac:dyDescent="0.3">
      <c r="A17" s="1" t="s">
        <v>24</v>
      </c>
      <c r="B17">
        <v>83</v>
      </c>
      <c r="C17">
        <v>1071</v>
      </c>
      <c r="D17" s="1" t="s">
        <v>6</v>
      </c>
      <c r="E17">
        <v>85</v>
      </c>
      <c r="F17" s="5">
        <f>vhodni_podatki__2[[#This Row],[Teža (t oz)]]*vhodni_podatki__2[[#This Row],[Hitrost]]/32</f>
        <v>2844.84375</v>
      </c>
    </row>
    <row r="18" spans="1:6" x14ac:dyDescent="0.3">
      <c r="A18" s="1" t="s">
        <v>25</v>
      </c>
      <c r="B18">
        <v>47</v>
      </c>
      <c r="C18">
        <v>135</v>
      </c>
      <c r="D18" s="1" t="s">
        <v>6</v>
      </c>
      <c r="E18">
        <v>55</v>
      </c>
      <c r="F18" s="5">
        <f>vhodni_podatki__2[[#This Row],[Teža (t oz)]]*vhodni_podatki__2[[#This Row],[Hitrost]]/32</f>
        <v>232.03125</v>
      </c>
    </row>
    <row r="19" spans="1:6" x14ac:dyDescent="0.3">
      <c r="A19" s="1" t="s">
        <v>26</v>
      </c>
      <c r="B19">
        <v>189</v>
      </c>
      <c r="C19">
        <v>4180</v>
      </c>
      <c r="D19" s="1" t="s">
        <v>6</v>
      </c>
      <c r="E19">
        <v>55</v>
      </c>
      <c r="F19" s="5">
        <f>vhodni_podatki__2[[#This Row],[Teža (t oz)]]*vhodni_podatki__2[[#This Row],[Hitrost]]/32</f>
        <v>7184.375</v>
      </c>
    </row>
    <row r="20" spans="1:6" x14ac:dyDescent="0.3">
      <c r="A20" s="1" t="s">
        <v>27</v>
      </c>
      <c r="B20">
        <v>165</v>
      </c>
      <c r="C20">
        <v>9645</v>
      </c>
      <c r="D20" s="1" t="s">
        <v>23</v>
      </c>
      <c r="E20">
        <v>110</v>
      </c>
      <c r="F20" s="5">
        <f>vhodni_podatki__2[[#This Row],[Teža (t oz)]]*vhodni_podatki__2[[#This Row],[Hitrost]]/32</f>
        <v>33154.6875</v>
      </c>
    </row>
    <row r="21" spans="1:6" x14ac:dyDescent="0.3">
      <c r="A21" s="1" t="s">
        <v>28</v>
      </c>
      <c r="B21">
        <v>201</v>
      </c>
      <c r="C21">
        <v>3054</v>
      </c>
      <c r="D21" s="1" t="s">
        <v>18</v>
      </c>
      <c r="E21">
        <v>100</v>
      </c>
      <c r="F21" s="5">
        <f>vhodni_podatki__2[[#This Row],[Teža (t oz)]]*vhodni_podatki__2[[#This Row],[Hitrost]]/32</f>
        <v>9543.75</v>
      </c>
    </row>
    <row r="22" spans="1:6" x14ac:dyDescent="0.3">
      <c r="A22" s="1" t="s">
        <v>29</v>
      </c>
      <c r="B22">
        <v>118</v>
      </c>
      <c r="C22">
        <v>1929</v>
      </c>
      <c r="D22" s="1" t="s">
        <v>6</v>
      </c>
      <c r="E22">
        <v>55</v>
      </c>
      <c r="F22" s="5">
        <f>vhodni_podatki__2[[#This Row],[Teža (t oz)]]*vhodni_podatki__2[[#This Row],[Hitrost]]/32</f>
        <v>3315.46875</v>
      </c>
    </row>
    <row r="23" spans="1:6" x14ac:dyDescent="0.3">
      <c r="A23" s="1" t="s">
        <v>30</v>
      </c>
      <c r="B23">
        <v>177</v>
      </c>
      <c r="C23">
        <v>1302</v>
      </c>
      <c r="D23" s="1" t="s">
        <v>23</v>
      </c>
      <c r="E23">
        <v>110</v>
      </c>
      <c r="F23" s="5">
        <f>vhodni_podatki__2[[#This Row],[Teža (t oz)]]*vhodni_podatki__2[[#This Row],[Hitrost]]/32</f>
        <v>4475.625</v>
      </c>
    </row>
    <row r="24" spans="1:6" x14ac:dyDescent="0.3">
      <c r="A24" s="1" t="s">
        <v>31</v>
      </c>
      <c r="B24">
        <v>1039</v>
      </c>
      <c r="C24">
        <v>6752</v>
      </c>
      <c r="D24" s="1" t="s">
        <v>6</v>
      </c>
      <c r="E24">
        <v>55</v>
      </c>
      <c r="F24" s="5">
        <f>vhodni_podatki__2[[#This Row],[Teža (t oz)]]*vhodni_podatki__2[[#This Row],[Hitrost]]/32</f>
        <v>11605</v>
      </c>
    </row>
    <row r="25" spans="1:6" x14ac:dyDescent="0.3">
      <c r="A25" s="1" t="s">
        <v>32</v>
      </c>
      <c r="B25">
        <v>224</v>
      </c>
      <c r="C25">
        <v>3858</v>
      </c>
      <c r="D25" s="1" t="s">
        <v>18</v>
      </c>
      <c r="E25">
        <v>100</v>
      </c>
      <c r="F25" s="5">
        <f>vhodni_podatki__2[[#This Row],[Teža (t oz)]]*vhodni_podatki__2[[#This Row],[Hitrost]]/32</f>
        <v>12056.25</v>
      </c>
    </row>
    <row r="26" spans="1:6" x14ac:dyDescent="0.3">
      <c r="A26" s="1" t="s">
        <v>33</v>
      </c>
      <c r="B26">
        <v>768</v>
      </c>
      <c r="C26">
        <v>7555</v>
      </c>
      <c r="D26" s="1" t="s">
        <v>23</v>
      </c>
      <c r="E26">
        <v>110</v>
      </c>
      <c r="F26" s="5">
        <f>vhodni_podatki__2[[#This Row],[Teža (t oz)]]*vhodni_podatki__2[[#This Row],[Hitrost]]/32</f>
        <v>25970.3125</v>
      </c>
    </row>
    <row r="27" spans="1:6" x14ac:dyDescent="0.3">
      <c r="A27" s="1" t="s">
        <v>34</v>
      </c>
      <c r="B27">
        <v>35</v>
      </c>
      <c r="C27">
        <v>129</v>
      </c>
      <c r="D27" s="1" t="s">
        <v>6</v>
      </c>
      <c r="E27">
        <v>85</v>
      </c>
      <c r="F27" s="5">
        <f>vhodni_podatki__2[[#This Row],[Teža (t oz)]]*vhodni_podatki__2[[#This Row],[Hitrost]]/32</f>
        <v>342.65625</v>
      </c>
    </row>
    <row r="28" spans="1:6" x14ac:dyDescent="0.3">
      <c r="A28" s="1" t="s">
        <v>35</v>
      </c>
      <c r="B28">
        <v>35</v>
      </c>
      <c r="C28">
        <v>209</v>
      </c>
      <c r="D28" s="1" t="s">
        <v>6</v>
      </c>
      <c r="E28">
        <v>85</v>
      </c>
      <c r="F28" s="5">
        <f>vhodni_podatki__2[[#This Row],[Teža (t oz)]]*vhodni_podatki__2[[#This Row],[Hitrost]]/32</f>
        <v>555.15625</v>
      </c>
    </row>
    <row r="29" spans="1:6" x14ac:dyDescent="0.3">
      <c r="A29" s="1" t="s">
        <v>36</v>
      </c>
      <c r="B29">
        <v>118</v>
      </c>
      <c r="C29">
        <v>932</v>
      </c>
      <c r="D29" s="1" t="s">
        <v>8</v>
      </c>
      <c r="E29">
        <v>123</v>
      </c>
      <c r="F29" s="5">
        <f>vhodni_podatki__2[[#This Row],[Teža (t oz)]]*vhodni_podatki__2[[#This Row],[Hitrost]]/32</f>
        <v>3582.375</v>
      </c>
    </row>
    <row r="30" spans="1:6" x14ac:dyDescent="0.3">
      <c r="A30" s="1" t="s">
        <v>37</v>
      </c>
      <c r="B30">
        <v>94</v>
      </c>
      <c r="C30">
        <v>788</v>
      </c>
      <c r="D30" s="1" t="s">
        <v>23</v>
      </c>
      <c r="E30">
        <v>110</v>
      </c>
      <c r="F30" s="5">
        <f>vhodni_podatki__2[[#This Row],[Teža (t oz)]]*vhodni_podatki__2[[#This Row],[Hitrost]]/32</f>
        <v>2708.75</v>
      </c>
    </row>
    <row r="31" spans="1:6" x14ac:dyDescent="0.3">
      <c r="A31" s="1" t="s">
        <v>38</v>
      </c>
      <c r="B31">
        <v>106</v>
      </c>
      <c r="C31">
        <v>804</v>
      </c>
      <c r="D31" s="1" t="s">
        <v>23</v>
      </c>
      <c r="E31">
        <v>110</v>
      </c>
      <c r="F31" s="5">
        <f>vhodni_podatki__2[[#This Row],[Teža (t oz)]]*vhodni_podatki__2[[#This Row],[Hitrost]]/32</f>
        <v>2763.75</v>
      </c>
    </row>
    <row r="32" spans="1:6" x14ac:dyDescent="0.3">
      <c r="A32" s="1" t="s">
        <v>39</v>
      </c>
      <c r="B32">
        <v>248</v>
      </c>
      <c r="C32">
        <v>14789</v>
      </c>
      <c r="D32" s="1" t="s">
        <v>8</v>
      </c>
      <c r="E32">
        <v>123</v>
      </c>
      <c r="F32" s="5">
        <f>vhodni_podatki__2[[#This Row],[Teža (t oz)]]*vhodni_podatki__2[[#This Row],[Hitrost]]/32</f>
        <v>56845.21875</v>
      </c>
    </row>
    <row r="33" spans="1:11" x14ac:dyDescent="0.3">
      <c r="A33" s="1" t="s">
        <v>40</v>
      </c>
      <c r="B33">
        <v>260</v>
      </c>
      <c r="C33">
        <v>6752</v>
      </c>
      <c r="D33" s="1" t="s">
        <v>6</v>
      </c>
      <c r="E33">
        <v>85</v>
      </c>
      <c r="F33" s="5">
        <f>vhodni_podatki__2[[#This Row],[Teža (t oz)]]*vhodni_podatki__2[[#This Row],[Hitrost]]/32</f>
        <v>17935</v>
      </c>
    </row>
    <row r="34" spans="1:11" x14ac:dyDescent="0.3">
      <c r="A34" s="1"/>
      <c r="D34" s="1" t="s">
        <v>42</v>
      </c>
      <c r="E34">
        <f>MAX(vhodni_podatki__2[Hitrost])</f>
        <v>123</v>
      </c>
      <c r="F34" s="5"/>
    </row>
    <row r="37" spans="1:11" x14ac:dyDescent="0.3">
      <c r="J37" s="2" t="s">
        <v>2</v>
      </c>
      <c r="K37" s="2" t="s">
        <v>1</v>
      </c>
    </row>
    <row r="38" spans="1:11" x14ac:dyDescent="0.3">
      <c r="J38" s="3">
        <v>222</v>
      </c>
      <c r="K38" s="3">
        <v>83</v>
      </c>
    </row>
    <row r="39" spans="1:11" x14ac:dyDescent="0.3">
      <c r="J39" s="4">
        <v>3215</v>
      </c>
      <c r="K39" s="4">
        <v>236</v>
      </c>
    </row>
    <row r="40" spans="1:11" x14ac:dyDescent="0.3">
      <c r="J40" s="3">
        <v>273</v>
      </c>
      <c r="K40" s="3">
        <v>71</v>
      </c>
    </row>
    <row r="41" spans="1:11" x14ac:dyDescent="0.3">
      <c r="J41" s="4">
        <v>2910</v>
      </c>
      <c r="K41" s="4">
        <v>201</v>
      </c>
    </row>
    <row r="42" spans="1:11" x14ac:dyDescent="0.3">
      <c r="J42" s="3">
        <v>289</v>
      </c>
      <c r="K42" s="3">
        <v>59</v>
      </c>
    </row>
    <row r="43" spans="1:11" x14ac:dyDescent="0.3">
      <c r="J43" s="4">
        <v>2749</v>
      </c>
      <c r="K43" s="4">
        <v>189</v>
      </c>
    </row>
    <row r="44" spans="1:11" x14ac:dyDescent="0.3">
      <c r="J44" s="3">
        <v>1029</v>
      </c>
      <c r="K44" s="3">
        <v>130</v>
      </c>
    </row>
    <row r="45" spans="1:11" x14ac:dyDescent="0.3">
      <c r="J45" s="4">
        <v>58</v>
      </c>
      <c r="K45" s="4">
        <v>35</v>
      </c>
    </row>
    <row r="46" spans="1:11" x14ac:dyDescent="0.3">
      <c r="J46" s="3">
        <v>1270</v>
      </c>
      <c r="K46" s="3">
        <v>177</v>
      </c>
    </row>
    <row r="47" spans="1:11" x14ac:dyDescent="0.3">
      <c r="J47" s="4">
        <v>193</v>
      </c>
      <c r="K47" s="4">
        <v>47</v>
      </c>
    </row>
    <row r="48" spans="1:11" x14ac:dyDescent="0.3">
      <c r="J48" s="3">
        <v>948</v>
      </c>
      <c r="K48" s="3">
        <v>118</v>
      </c>
    </row>
    <row r="49" spans="10:11" x14ac:dyDescent="0.3">
      <c r="J49" s="4">
        <v>1993</v>
      </c>
      <c r="K49" s="4">
        <v>165</v>
      </c>
    </row>
    <row r="50" spans="10:11" x14ac:dyDescent="0.3">
      <c r="J50" s="3">
        <v>1286</v>
      </c>
      <c r="K50" s="3">
        <v>154</v>
      </c>
    </row>
    <row r="51" spans="10:11" x14ac:dyDescent="0.3">
      <c r="J51" s="4">
        <v>640</v>
      </c>
      <c r="K51" s="4">
        <v>130</v>
      </c>
    </row>
    <row r="52" spans="10:11" x14ac:dyDescent="0.3">
      <c r="J52" s="3">
        <v>1768</v>
      </c>
      <c r="K52" s="3">
        <v>189</v>
      </c>
    </row>
    <row r="53" spans="10:11" x14ac:dyDescent="0.3">
      <c r="J53" s="4">
        <v>1071</v>
      </c>
      <c r="K53" s="4">
        <v>83</v>
      </c>
    </row>
    <row r="54" spans="10:11" x14ac:dyDescent="0.3">
      <c r="J54" s="3">
        <v>135</v>
      </c>
      <c r="K54" s="3">
        <v>47</v>
      </c>
    </row>
    <row r="55" spans="10:11" x14ac:dyDescent="0.3">
      <c r="J55" s="4">
        <v>4180</v>
      </c>
      <c r="K55" s="4">
        <v>189</v>
      </c>
    </row>
    <row r="56" spans="10:11" x14ac:dyDescent="0.3">
      <c r="J56" s="3">
        <v>9645</v>
      </c>
      <c r="K56" s="3">
        <v>165</v>
      </c>
    </row>
    <row r="57" spans="10:11" x14ac:dyDescent="0.3">
      <c r="J57" s="4">
        <v>3054</v>
      </c>
      <c r="K57" s="4">
        <v>201</v>
      </c>
    </row>
    <row r="58" spans="10:11" x14ac:dyDescent="0.3">
      <c r="J58" s="3">
        <v>1929</v>
      </c>
      <c r="K58" s="3">
        <v>118</v>
      </c>
    </row>
    <row r="59" spans="10:11" x14ac:dyDescent="0.3">
      <c r="J59" s="4">
        <v>1302</v>
      </c>
      <c r="K59" s="4">
        <v>177</v>
      </c>
    </row>
    <row r="60" spans="10:11" x14ac:dyDescent="0.3">
      <c r="J60" s="3">
        <v>6752</v>
      </c>
      <c r="K60" s="3">
        <v>1039</v>
      </c>
    </row>
    <row r="61" spans="10:11" x14ac:dyDescent="0.3">
      <c r="J61" s="4">
        <v>3858</v>
      </c>
      <c r="K61" s="4">
        <v>224</v>
      </c>
    </row>
    <row r="62" spans="10:11" x14ac:dyDescent="0.3">
      <c r="J62" s="3">
        <v>7555</v>
      </c>
      <c r="K62" s="3">
        <v>768</v>
      </c>
    </row>
    <row r="63" spans="10:11" x14ac:dyDescent="0.3">
      <c r="J63" s="4">
        <v>129</v>
      </c>
      <c r="K63" s="4">
        <v>35</v>
      </c>
    </row>
    <row r="64" spans="10:11" x14ac:dyDescent="0.3">
      <c r="J64" s="3">
        <v>209</v>
      </c>
      <c r="K64" s="3">
        <v>35</v>
      </c>
    </row>
    <row r="65" spans="10:11" x14ac:dyDescent="0.3">
      <c r="J65" s="4">
        <v>932</v>
      </c>
      <c r="K65" s="4">
        <v>118</v>
      </c>
    </row>
    <row r="66" spans="10:11" x14ac:dyDescent="0.3">
      <c r="J66" s="3">
        <v>788</v>
      </c>
      <c r="K66" s="3">
        <v>94</v>
      </c>
    </row>
    <row r="67" spans="10:11" x14ac:dyDescent="0.3">
      <c r="J67" s="4">
        <v>804</v>
      </c>
      <c r="K67" s="4">
        <v>106</v>
      </c>
    </row>
    <row r="68" spans="10:11" x14ac:dyDescent="0.3">
      <c r="J68" s="3">
        <v>14789</v>
      </c>
      <c r="K68" s="3">
        <v>248</v>
      </c>
    </row>
    <row r="69" spans="10:11" x14ac:dyDescent="0.3">
      <c r="J69" s="4">
        <v>6752</v>
      </c>
      <c r="K69" s="4">
        <v>260</v>
      </c>
    </row>
  </sheetData>
  <conditionalFormatting sqref="E2:E33">
    <cfRule type="cellIs" dxfId="3" priority="1" operator="equal">
      <formula>E$34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7A500-8ED8-4211-A59F-6D4CC65C07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vhodni-podatki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Jamnik</dc:creator>
  <cp:lastModifiedBy>Matej Jamnik</cp:lastModifiedBy>
  <dcterms:created xsi:type="dcterms:W3CDTF">2026-01-26T20:36:15Z</dcterms:created>
  <dcterms:modified xsi:type="dcterms:W3CDTF">2026-01-26T20:36:15Z</dcterms:modified>
</cp:coreProperties>
</file>