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Maps\RP\racunalniski_praktikum\excel\"/>
    </mc:Choice>
  </mc:AlternateContent>
  <xr:revisionPtr revIDLastSave="0" documentId="8_{41D3EFDB-94F2-47FF-8F5F-F40BE0FAB0E5}" xr6:coauthVersionLast="47" xr6:coauthVersionMax="47" xr10:uidLastSave="{00000000-0000-0000-0000-000000000000}"/>
  <bookViews>
    <workbookView xWindow="-108" yWindow="-108" windowWidth="23256" windowHeight="12456" xr2:uid="{4D32BE41-9EFE-462C-A6B0-74044DEFAA31}"/>
  </bookViews>
  <sheets>
    <sheet name="podatki" sheetId="2" r:id="rId1"/>
    <sheet name="List1" sheetId="1" r:id="rId2"/>
  </sheets>
  <definedNames>
    <definedName name="ExternalData_1" localSheetId="0" hidden="1">podatki!$A$1:$F$41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6BD401-8359-433C-8DF3-5BB2E6E5C0E7}" keepAlive="1" name="Poizvedba – podatki" description="Povezava s poizvedbo »podatki« v delovnem zvezku." type="5" refreshedVersion="8" background="1" saveData="1">
    <dbPr connection="Provider=Microsoft.Mashup.OleDb.1;Data Source=$Workbook$;Location=podatki;Extended Properties=&quot;&quot;" command="SELECT * FROM [podatki]"/>
  </connection>
</connections>
</file>

<file path=xl/sharedStrings.xml><?xml version="1.0" encoding="utf-8"?>
<sst xmlns="http://schemas.openxmlformats.org/spreadsheetml/2006/main" count="216" uniqueCount="66">
  <si>
    <t>disciplina</t>
  </si>
  <si>
    <t>spol</t>
  </si>
  <si>
    <t>ime</t>
  </si>
  <si>
    <t>država</t>
  </si>
  <si>
    <t>čas</t>
  </si>
  <si>
    <t>kazen</t>
  </si>
  <si>
    <t>kajak</t>
  </si>
  <si>
    <t>m</t>
  </si>
  <si>
    <t>Butcher Finn</t>
  </si>
  <si>
    <t>NZL</t>
  </si>
  <si>
    <t>Castryck Titouan</t>
  </si>
  <si>
    <t>FRA</t>
  </si>
  <si>
    <t>De Gennaro Giovanni</t>
  </si>
  <si>
    <t>ITA</t>
  </si>
  <si>
    <t>Delassus Anatole</t>
  </si>
  <si>
    <t>Dougoud Martin</t>
  </si>
  <si>
    <t>SUI</t>
  </si>
  <si>
    <t>Kauzer Peter</t>
  </si>
  <si>
    <t>SLO</t>
  </si>
  <si>
    <t>Krejci Jakub</t>
  </si>
  <si>
    <t>CZE</t>
  </si>
  <si>
    <t>Ohrstrom Isak</t>
  </si>
  <si>
    <t>SWE</t>
  </si>
  <si>
    <t>Polaczyk Mateusz</t>
  </si>
  <si>
    <t>POL</t>
  </si>
  <si>
    <t>Tominc Lan</t>
  </si>
  <si>
    <t>ž</t>
  </si>
  <si>
    <t>Bekova Katerina</t>
  </si>
  <si>
    <t>Fox Jessica</t>
  </si>
  <si>
    <t>AUS</t>
  </si>
  <si>
    <t>Funk Ricarda</t>
  </si>
  <si>
    <t>GER</t>
  </si>
  <si>
    <t>Galuskova Antonie</t>
  </si>
  <si>
    <t>Kuhnle Corinna</t>
  </si>
  <si>
    <t>AUT</t>
  </si>
  <si>
    <t>Satila Ana</t>
  </si>
  <si>
    <t>BRA</t>
  </si>
  <si>
    <t>Satkova Gabriela</t>
  </si>
  <si>
    <t>Tercelj Eva</t>
  </si>
  <si>
    <t>Vuitton Emma</t>
  </si>
  <si>
    <t>Woods Kimberley</t>
  </si>
  <si>
    <t>GBR</t>
  </si>
  <si>
    <t>kanu</t>
  </si>
  <si>
    <t>Anton Franz</t>
  </si>
  <si>
    <t>Bassett Kaylen</t>
  </si>
  <si>
    <t>Benus Matej</t>
  </si>
  <si>
    <t>SVK</t>
  </si>
  <si>
    <t>Debliquy Mewen</t>
  </si>
  <si>
    <t>Gargaud Chanut Denis</t>
  </si>
  <si>
    <t>Gestin Nicolas</t>
  </si>
  <si>
    <t>Mirgorodsky Marko</t>
  </si>
  <si>
    <t>Prskavec Jiri</t>
  </si>
  <si>
    <t>Savsek Benjamin</t>
  </si>
  <si>
    <t>Trummer Timo</t>
  </si>
  <si>
    <t>Bayn Nele</t>
  </si>
  <si>
    <t>Franklin Mallory</t>
  </si>
  <si>
    <t>Herzog Andrea</t>
  </si>
  <si>
    <t>Hug Angele</t>
  </si>
  <si>
    <t>Leibfarth Evy</t>
  </si>
  <si>
    <t>USA</t>
  </si>
  <si>
    <t>Pankova Zuzana</t>
  </si>
  <si>
    <t>Satkova Martina</t>
  </si>
  <si>
    <t>Rezultat</t>
  </si>
  <si>
    <t>Vsota od Rezultat</t>
  </si>
  <si>
    <t>Skupna vsota</t>
  </si>
  <si>
    <t>Tekmovalec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</si>
</sst>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avadno" xfId="0" builtinId="0"/>
  </cellStyles>
  <dxfs count="8">
    <dxf>
      <font>
        <color theme="9"/>
      </font>
    </dxf>
    <dxf>
      <font>
        <color rgb="FFFF0000"/>
      </font>
    </dxf>
    <dxf>
      <font>
        <color theme="9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1135380</xdr:colOff>
      <xdr:row>2</xdr:row>
      <xdr:rowOff>45720</xdr:rowOff>
    </xdr:from>
    <xdr:to>
      <xdr:col>25</xdr:col>
      <xdr:colOff>395520</xdr:colOff>
      <xdr:row>20</xdr:row>
      <xdr:rowOff>27110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8522A6F7-02E6-5C73-FA25-4EBE87319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8420" y="411480"/>
          <a:ext cx="5988600" cy="327323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j Jamnik" refreshedDate="46049.774617708332" createdVersion="8" refreshedVersion="8" minRefreshableVersion="3" recordCount="40" xr:uid="{C705515F-C549-4BF0-8B73-531F804477A1}">
  <cacheSource type="worksheet">
    <worksheetSource name="podatki"/>
  </cacheSource>
  <cacheFields count="7">
    <cacheField name="disciplina" numFmtId="0">
      <sharedItems count="2">
        <s v="kajak"/>
        <s v="kanu"/>
      </sharedItems>
    </cacheField>
    <cacheField name="spol" numFmtId="0">
      <sharedItems count="2">
        <s v="m"/>
        <s v="ž"/>
      </sharedItems>
    </cacheField>
    <cacheField name="ime" numFmtId="0">
      <sharedItems count="37">
        <s v="Butcher Finn"/>
        <s v="Castryck Titouan"/>
        <s v="De Gennaro Giovanni"/>
        <s v="Delassus Anatole"/>
        <s v="Dougoud Martin"/>
        <s v="Kauzer Peter"/>
        <s v="Krejci Jakub"/>
        <s v="Ohrstrom Isak"/>
        <s v="Polaczyk Mateusz"/>
        <s v="Tominc Lan"/>
        <s v="Bekova Katerina"/>
        <s v="Fox Jessica"/>
        <s v="Funk Ricarda"/>
        <s v="Galuskova Antonie"/>
        <s v="Kuhnle Corinna"/>
        <s v="Satila Ana"/>
        <s v="Satkova Gabriela"/>
        <s v="Tercelj Eva"/>
        <s v="Vuitton Emma"/>
        <s v="Woods Kimberley"/>
        <s v="Anton Franz"/>
        <s v="Bassett Kaylen"/>
        <s v="Benus Matej"/>
        <s v="Debliquy Mewen"/>
        <s v="Gargaud Chanut Denis"/>
        <s v="Gestin Nicolas"/>
        <s v="Mirgorodsky Marko"/>
        <s v="Prskavec Jiri"/>
        <s v="Savsek Benjamin"/>
        <s v="Trummer Timo"/>
        <s v="Bayn Nele"/>
        <s v="Franklin Mallory"/>
        <s v="Herzog Andrea"/>
        <s v="Hug Angele"/>
        <s v="Leibfarth Evy"/>
        <s v="Pankova Zuzana"/>
        <s v="Satkova Martina"/>
      </sharedItems>
    </cacheField>
    <cacheField name="država" numFmtId="0">
      <sharedItems count="15">
        <s v="NZL"/>
        <s v="FRA"/>
        <s v="ITA"/>
        <s v="SUI"/>
        <s v="SLO"/>
        <s v="CZE"/>
        <s v="SWE"/>
        <s v="POL"/>
        <s v="AUS"/>
        <s v="GER"/>
        <s v="AUT"/>
        <s v="BRA"/>
        <s v="GBR"/>
        <s v="SVK"/>
        <s v="USA"/>
      </sharedItems>
    </cacheField>
    <cacheField name="čas" numFmtId="0">
      <sharedItems containsSemiMixedTypes="0" containsString="0" containsNumber="1" minValue="79.069999999999993" maxValue="112.37"/>
    </cacheField>
    <cacheField name="kazen" numFmtId="0">
      <sharedItems containsSemiMixedTypes="0" containsString="0" containsNumber="1" containsInteger="1" minValue="0" maxValue="252"/>
    </cacheField>
    <cacheField name="Rezultat" numFmtId="0">
      <sharedItems containsSemiMixedTypes="0" containsString="0" containsNumber="1" minValue="79.069999999999993" maxValue="334.42" count="40">
        <n v="190.42000000000002"/>
        <n v="82"/>
        <n v="79.069999999999993"/>
        <n v="134.51999999999998"/>
        <n v="83.31"/>
        <n v="81.87"/>
        <n v="81.349999999999994"/>
        <n v="89.7"/>
        <n v="81.28"/>
        <n v="92.99"/>
        <n v="100.03"/>
        <n v="94.29"/>
        <n v="94.4"/>
        <n v="95.35"/>
        <n v="95.15"/>
        <n v="98.03"/>
        <n v="96.71"/>
        <n v="94.62"/>
        <n v="94.12"/>
        <n v="95.36"/>
        <n v="94.89"/>
        <n v="94.63"/>
        <n v="91.94"/>
        <n v="144.51999999999998"/>
        <n v="97.54"/>
        <n v="88.43"/>
        <n v="91.81"/>
        <n v="86.32"/>
        <n v="87.14"/>
        <n v="89.25"/>
        <n v="102.77"/>
        <n v="97.94"/>
        <n v="334.42"/>
        <n v="98.43"/>
        <n v="102.22"/>
        <n v="162.37"/>
        <n v="98.56"/>
        <n v="98.67"/>
        <n v="96.35"/>
        <n v="104.8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x v="0"/>
    <n v="84.42"/>
    <n v="106"/>
    <x v="0"/>
  </r>
  <r>
    <x v="0"/>
    <x v="0"/>
    <x v="1"/>
    <x v="1"/>
    <n v="82"/>
    <n v="0"/>
    <x v="1"/>
  </r>
  <r>
    <x v="0"/>
    <x v="0"/>
    <x v="2"/>
    <x v="2"/>
    <n v="79.069999999999993"/>
    <n v="0"/>
    <x v="2"/>
  </r>
  <r>
    <x v="0"/>
    <x v="0"/>
    <x v="3"/>
    <x v="1"/>
    <n v="84.52"/>
    <n v="50"/>
    <x v="3"/>
  </r>
  <r>
    <x v="0"/>
    <x v="0"/>
    <x v="4"/>
    <x v="3"/>
    <n v="83.31"/>
    <n v="0"/>
    <x v="4"/>
  </r>
  <r>
    <x v="0"/>
    <x v="0"/>
    <x v="5"/>
    <x v="4"/>
    <n v="81.87"/>
    <n v="0"/>
    <x v="5"/>
  </r>
  <r>
    <x v="0"/>
    <x v="0"/>
    <x v="6"/>
    <x v="5"/>
    <n v="81.349999999999994"/>
    <n v="0"/>
    <x v="6"/>
  </r>
  <r>
    <x v="0"/>
    <x v="0"/>
    <x v="7"/>
    <x v="6"/>
    <n v="85.7"/>
    <n v="4"/>
    <x v="7"/>
  </r>
  <r>
    <x v="0"/>
    <x v="0"/>
    <x v="8"/>
    <x v="7"/>
    <n v="81.28"/>
    <n v="0"/>
    <x v="8"/>
  </r>
  <r>
    <x v="0"/>
    <x v="0"/>
    <x v="9"/>
    <x v="4"/>
    <n v="86.99"/>
    <n v="6"/>
    <x v="9"/>
  </r>
  <r>
    <x v="0"/>
    <x v="1"/>
    <x v="10"/>
    <x v="5"/>
    <n v="96.03"/>
    <n v="4"/>
    <x v="10"/>
  </r>
  <r>
    <x v="0"/>
    <x v="1"/>
    <x v="11"/>
    <x v="8"/>
    <n v="90.29"/>
    <n v="4"/>
    <x v="11"/>
  </r>
  <r>
    <x v="0"/>
    <x v="1"/>
    <x v="12"/>
    <x v="9"/>
    <n v="90.4"/>
    <n v="4"/>
    <x v="12"/>
  </r>
  <r>
    <x v="0"/>
    <x v="1"/>
    <x v="13"/>
    <x v="5"/>
    <n v="93.35"/>
    <n v="2"/>
    <x v="13"/>
  </r>
  <r>
    <x v="0"/>
    <x v="1"/>
    <x v="14"/>
    <x v="10"/>
    <n v="93.15"/>
    <n v="2"/>
    <x v="14"/>
  </r>
  <r>
    <x v="0"/>
    <x v="1"/>
    <x v="15"/>
    <x v="11"/>
    <n v="96.03"/>
    <n v="2"/>
    <x v="15"/>
  </r>
  <r>
    <x v="0"/>
    <x v="1"/>
    <x v="16"/>
    <x v="5"/>
    <n v="94.71"/>
    <n v="2"/>
    <x v="16"/>
  </r>
  <r>
    <x v="0"/>
    <x v="1"/>
    <x v="17"/>
    <x v="4"/>
    <n v="94.62"/>
    <n v="0"/>
    <x v="17"/>
  </r>
  <r>
    <x v="0"/>
    <x v="1"/>
    <x v="18"/>
    <x v="1"/>
    <n v="94.12"/>
    <n v="0"/>
    <x v="18"/>
  </r>
  <r>
    <x v="0"/>
    <x v="1"/>
    <x v="19"/>
    <x v="12"/>
    <n v="93.36"/>
    <n v="2"/>
    <x v="19"/>
  </r>
  <r>
    <x v="1"/>
    <x v="0"/>
    <x v="20"/>
    <x v="9"/>
    <n v="92.89"/>
    <n v="2"/>
    <x v="20"/>
  </r>
  <r>
    <x v="1"/>
    <x v="0"/>
    <x v="21"/>
    <x v="8"/>
    <n v="92.63"/>
    <n v="2"/>
    <x v="21"/>
  </r>
  <r>
    <x v="1"/>
    <x v="0"/>
    <x v="22"/>
    <x v="13"/>
    <n v="91.94"/>
    <n v="0"/>
    <x v="22"/>
  </r>
  <r>
    <x v="1"/>
    <x v="0"/>
    <x v="23"/>
    <x v="1"/>
    <n v="94.52"/>
    <n v="50"/>
    <x v="23"/>
  </r>
  <r>
    <x v="1"/>
    <x v="0"/>
    <x v="24"/>
    <x v="1"/>
    <n v="95.54"/>
    <n v="2"/>
    <x v="24"/>
  </r>
  <r>
    <x v="1"/>
    <x v="0"/>
    <x v="25"/>
    <x v="1"/>
    <n v="86.43"/>
    <n v="2"/>
    <x v="25"/>
  </r>
  <r>
    <x v="1"/>
    <x v="0"/>
    <x v="26"/>
    <x v="13"/>
    <n v="89.81"/>
    <n v="2"/>
    <x v="26"/>
  </r>
  <r>
    <x v="1"/>
    <x v="0"/>
    <x v="27"/>
    <x v="5"/>
    <n v="86.32"/>
    <n v="0"/>
    <x v="27"/>
  </r>
  <r>
    <x v="1"/>
    <x v="0"/>
    <x v="28"/>
    <x v="4"/>
    <n v="87.14"/>
    <n v="0"/>
    <x v="28"/>
  </r>
  <r>
    <x v="1"/>
    <x v="0"/>
    <x v="29"/>
    <x v="9"/>
    <n v="85.25"/>
    <n v="4"/>
    <x v="29"/>
  </r>
  <r>
    <x v="1"/>
    <x v="1"/>
    <x v="30"/>
    <x v="9"/>
    <n v="102.77"/>
    <n v="0"/>
    <x v="30"/>
  </r>
  <r>
    <x v="1"/>
    <x v="1"/>
    <x v="11"/>
    <x v="8"/>
    <n v="93.94"/>
    <n v="4"/>
    <x v="31"/>
  </r>
  <r>
    <x v="1"/>
    <x v="1"/>
    <x v="31"/>
    <x v="12"/>
    <n v="82.42"/>
    <n v="252"/>
    <x v="32"/>
  </r>
  <r>
    <x v="1"/>
    <x v="1"/>
    <x v="32"/>
    <x v="9"/>
    <n v="96.43"/>
    <n v="2"/>
    <x v="33"/>
  </r>
  <r>
    <x v="1"/>
    <x v="1"/>
    <x v="33"/>
    <x v="1"/>
    <n v="102.22"/>
    <n v="0"/>
    <x v="34"/>
  </r>
  <r>
    <x v="1"/>
    <x v="1"/>
    <x v="34"/>
    <x v="14"/>
    <n v="112.37"/>
    <n v="50"/>
    <x v="35"/>
  </r>
  <r>
    <x v="1"/>
    <x v="1"/>
    <x v="35"/>
    <x v="13"/>
    <n v="98.56"/>
    <n v="0"/>
    <x v="36"/>
  </r>
  <r>
    <x v="1"/>
    <x v="1"/>
    <x v="15"/>
    <x v="11"/>
    <n v="98.67"/>
    <n v="0"/>
    <x v="37"/>
  </r>
  <r>
    <x v="1"/>
    <x v="1"/>
    <x v="16"/>
    <x v="5"/>
    <n v="94.35"/>
    <n v="2"/>
    <x v="38"/>
  </r>
  <r>
    <x v="1"/>
    <x v="1"/>
    <x v="36"/>
    <x v="5"/>
    <n v="102.85"/>
    <n v="2"/>
    <x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1A2AC-6E48-4374-AE12-97BD663AC3B2}" name="Vrtilna tabela1" cacheId="7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 rowHeaderCaption="Tekmovalec">
  <location ref="O25:P72" firstHeaderRow="1" firstDataRow="1" firstDataCol="1"/>
  <pivotFields count="7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 sortType="ascending">
      <items count="38">
        <item x="20"/>
        <item x="21"/>
        <item x="30"/>
        <item x="10"/>
        <item x="22"/>
        <item x="0"/>
        <item x="1"/>
        <item x="2"/>
        <item x="23"/>
        <item x="3"/>
        <item x="4"/>
        <item x="11"/>
        <item x="31"/>
        <item x="12"/>
        <item x="13"/>
        <item x="24"/>
        <item x="25"/>
        <item x="32"/>
        <item x="33"/>
        <item x="5"/>
        <item x="6"/>
        <item x="14"/>
        <item x="34"/>
        <item x="26"/>
        <item x="7"/>
        <item x="35"/>
        <item x="8"/>
        <item x="27"/>
        <item x="15"/>
        <item x="16"/>
        <item x="36"/>
        <item x="28"/>
        <item x="17"/>
        <item x="9"/>
        <item x="29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6">
        <item x="8"/>
        <item x="10"/>
        <item x="11"/>
        <item x="5"/>
        <item x="1"/>
        <item x="12"/>
        <item x="9"/>
        <item x="2"/>
        <item x="0"/>
        <item x="7"/>
        <item x="4"/>
        <item x="3"/>
        <item x="13"/>
        <item x="6"/>
        <item x="14"/>
        <item t="default"/>
      </items>
    </pivotField>
    <pivotField showAll="0"/>
    <pivotField showAll="0"/>
    <pivotField dataField="1" showAll="0">
      <items count="41">
        <item x="2"/>
        <item x="8"/>
        <item x="6"/>
        <item x="5"/>
        <item x="1"/>
        <item x="4"/>
        <item x="27"/>
        <item x="28"/>
        <item x="25"/>
        <item x="29"/>
        <item x="7"/>
        <item x="26"/>
        <item x="22"/>
        <item x="9"/>
        <item x="18"/>
        <item x="11"/>
        <item x="12"/>
        <item x="17"/>
        <item x="21"/>
        <item x="20"/>
        <item x="14"/>
        <item x="13"/>
        <item x="19"/>
        <item x="38"/>
        <item x="16"/>
        <item x="24"/>
        <item x="31"/>
        <item x="15"/>
        <item x="33"/>
        <item x="36"/>
        <item x="37"/>
        <item x="10"/>
        <item x="34"/>
        <item x="30"/>
        <item x="39"/>
        <item x="3"/>
        <item x="23"/>
        <item x="35"/>
        <item x="0"/>
        <item x="32"/>
        <item t="default"/>
      </items>
    </pivotField>
  </pivotFields>
  <rowFields count="3">
    <field x="0"/>
    <field x="1"/>
    <field x="2"/>
  </rowFields>
  <rowItems count="47">
    <i>
      <x/>
    </i>
    <i r="1">
      <x/>
    </i>
    <i r="2">
      <x v="7"/>
    </i>
    <i r="2">
      <x v="26"/>
    </i>
    <i r="2">
      <x v="20"/>
    </i>
    <i r="2">
      <x v="19"/>
    </i>
    <i r="2">
      <x v="6"/>
    </i>
    <i r="2">
      <x v="10"/>
    </i>
    <i r="2">
      <x v="24"/>
    </i>
    <i r="2">
      <x v="33"/>
    </i>
    <i r="2">
      <x v="9"/>
    </i>
    <i r="2">
      <x v="5"/>
    </i>
    <i r="1">
      <x v="1"/>
    </i>
    <i r="2">
      <x v="35"/>
    </i>
    <i r="2">
      <x v="11"/>
    </i>
    <i r="2">
      <x v="13"/>
    </i>
    <i r="2">
      <x v="32"/>
    </i>
    <i r="2">
      <x v="21"/>
    </i>
    <i r="2">
      <x v="14"/>
    </i>
    <i r="2">
      <x v="36"/>
    </i>
    <i r="2">
      <x v="29"/>
    </i>
    <i r="2">
      <x v="28"/>
    </i>
    <i r="2">
      <x v="3"/>
    </i>
    <i>
      <x v="1"/>
    </i>
    <i r="1">
      <x/>
    </i>
    <i r="2">
      <x v="27"/>
    </i>
    <i r="2">
      <x v="31"/>
    </i>
    <i r="2">
      <x v="16"/>
    </i>
    <i r="2">
      <x v="34"/>
    </i>
    <i r="2">
      <x v="23"/>
    </i>
    <i r="2">
      <x v="4"/>
    </i>
    <i r="2">
      <x v="1"/>
    </i>
    <i r="2">
      <x/>
    </i>
    <i r="2">
      <x v="15"/>
    </i>
    <i r="2">
      <x v="8"/>
    </i>
    <i r="1">
      <x v="1"/>
    </i>
    <i r="2">
      <x v="29"/>
    </i>
    <i r="2">
      <x v="11"/>
    </i>
    <i r="2">
      <x v="17"/>
    </i>
    <i r="2">
      <x v="25"/>
    </i>
    <i r="2">
      <x v="28"/>
    </i>
    <i r="2">
      <x v="18"/>
    </i>
    <i r="2">
      <x v="2"/>
    </i>
    <i r="2">
      <x v="30"/>
    </i>
    <i r="2">
      <x v="22"/>
    </i>
    <i r="2">
      <x v="12"/>
    </i>
    <i t="grand">
      <x/>
    </i>
  </rowItems>
  <colItems count="1">
    <i/>
  </colItems>
  <dataFields count="1">
    <dataField name="Vsota od Rezultat" fld="6" baseField="2" baseItem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2B5482-4F0E-4886-8C05-8995A125566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isciplina" tableColumnId="1"/>
      <queryTableField id="2" name="spol" tableColumnId="2"/>
      <queryTableField id="3" name="ime" tableColumnId="3"/>
      <queryTableField id="4" name="država" tableColumnId="4"/>
      <queryTableField id="5" name="čas" tableColumnId="5"/>
      <queryTableField id="6" name="kazen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F79110-EAEB-4C1E-A1F6-DE49B970A7E0}" name="podatki" displayName="podatki" ref="A1:G41" tableType="queryTable" totalsRowShown="0">
  <autoFilter ref="A1:G41" xr:uid="{C6F79110-EAEB-4C1E-A1F6-DE49B970A7E0}"/>
  <tableColumns count="7">
    <tableColumn id="1" xr3:uid="{5E613A1B-6C97-4F40-AC89-318391D1D661}" uniqueName="1" name="disciplina" queryTableFieldId="1" dataDxfId="7"/>
    <tableColumn id="2" xr3:uid="{C5EB9176-80FC-4C68-AEC6-4B0FAAF7BE94}" uniqueName="2" name="spol" queryTableFieldId="2" dataDxfId="6"/>
    <tableColumn id="3" xr3:uid="{249010E0-DFF6-4366-ACBB-07092F03B9BB}" uniqueName="3" name="ime" queryTableFieldId="3" dataDxfId="5"/>
    <tableColumn id="4" xr3:uid="{E4BF51D4-F999-493A-9E58-B8E1547C5CC5}" uniqueName="4" name="država" queryTableFieldId="4" dataDxfId="4"/>
    <tableColumn id="5" xr3:uid="{D40CDC1E-33FC-4929-9B57-EFDFAACE6351}" uniqueName="5" name="čas" queryTableFieldId="5"/>
    <tableColumn id="6" xr3:uid="{E9470B3A-65A8-4E37-932E-EC3D05F56E0B}" uniqueName="6" name="kazen" queryTableFieldId="6"/>
    <tableColumn id="7" xr3:uid="{AB9355E7-1B35-4AC3-969E-BAA1035BBC77}" uniqueName="7" name="Rezultat" queryTableFieldId="7" dataDxfId="3">
      <calculatedColumnFormula>podatki[[#This Row],[čas]]+podatki[[#This Row],[kazen]]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4902-36E3-4A01-959B-6FA7849502F4}">
  <dimension ref="A1:P72"/>
  <sheetViews>
    <sheetView tabSelected="1" workbookViewId="0">
      <selection activeCell="R37" sqref="R37"/>
    </sheetView>
  </sheetViews>
  <sheetFormatPr defaultRowHeight="14.4" x14ac:dyDescent="0.3"/>
  <cols>
    <col min="1" max="1" width="11.5546875" bestFit="1" customWidth="1"/>
    <col min="2" max="2" width="6.77734375" bestFit="1" customWidth="1"/>
    <col min="3" max="3" width="19.109375" bestFit="1" customWidth="1"/>
    <col min="4" max="4" width="8.77734375" bestFit="1" customWidth="1"/>
    <col min="5" max="5" width="7" bestFit="1" customWidth="1"/>
    <col min="6" max="6" width="8.109375" bestFit="1" customWidth="1"/>
    <col min="15" max="15" width="23.6640625" bestFit="1" customWidth="1"/>
    <col min="16" max="16" width="15.44140625" bestFit="1" customWidth="1"/>
    <col min="17" max="18" width="6" bestFit="1" customWidth="1"/>
    <col min="19" max="22" width="7" bestFit="1" customWidth="1"/>
    <col min="23" max="23" width="6" bestFit="1" customWidth="1"/>
    <col min="24" max="24" width="7" bestFit="1" customWidth="1"/>
    <col min="25" max="25" width="6" bestFit="1" customWidth="1"/>
    <col min="26" max="26" width="7" bestFit="1" customWidth="1"/>
    <col min="27" max="27" width="6" bestFit="1" customWidth="1"/>
    <col min="28" max="28" width="7" bestFit="1" customWidth="1"/>
    <col min="29" max="29" width="5" bestFit="1" customWidth="1"/>
    <col min="30" max="30" width="7" bestFit="1" customWidth="1"/>
    <col min="31" max="31" width="12" bestFit="1" customWidth="1"/>
    <col min="32" max="32" width="13.21875" bestFit="1" customWidth="1"/>
    <col min="33" max="33" width="13.109375" bestFit="1" customWidth="1"/>
    <col min="34" max="34" width="10.109375" bestFit="1" customWidth="1"/>
    <col min="35" max="35" width="11.44140625" bestFit="1" customWidth="1"/>
    <col min="36" max="36" width="11" bestFit="1" customWidth="1"/>
    <col min="37" max="37" width="13.5546875" bestFit="1" customWidth="1"/>
    <col min="38" max="38" width="11.5546875" bestFit="1" customWidth="1"/>
    <col min="39" max="39" width="16.6640625" bestFit="1" customWidth="1"/>
    <col min="40" max="40" width="12.6640625" bestFit="1" customWidth="1"/>
    <col min="41" max="41" width="14.33203125" bestFit="1" customWidth="1"/>
    <col min="42" max="42" width="15.77734375" bestFit="1" customWidth="1"/>
    <col min="43" max="43" width="11.33203125" bestFit="1" customWidth="1"/>
    <col min="44" max="44" width="9.33203125" bestFit="1" customWidth="1"/>
    <col min="45" max="45" width="15.33203125" bestFit="1" customWidth="1"/>
    <col min="46" max="46" width="14.44140625" bestFit="1" customWidth="1"/>
    <col min="47" max="47" width="15.21875" bestFit="1" customWidth="1"/>
    <col min="48" max="48" width="9.88671875" bestFit="1" customWidth="1"/>
    <col min="49" max="49" width="10.33203125" bestFit="1" customWidth="1"/>
    <col min="50" max="50" width="13.109375" bestFit="1" customWidth="1"/>
    <col min="51" max="51" width="12.6640625" bestFit="1" customWidth="1"/>
    <col min="52" max="52" width="15.6640625" bestFit="1" customWidth="1"/>
    <col min="53" max="53" width="12" bestFit="1" customWidth="1"/>
    <col min="54" max="54" width="15.21875" bestFit="1" customWidth="1"/>
    <col min="55" max="55" width="13.109375" bestFit="1" customWidth="1"/>
    <col min="56" max="56" width="16.5546875" bestFit="1" customWidth="1"/>
    <col min="57" max="57" width="12.6640625" bestFit="1" customWidth="1"/>
    <col min="58" max="58" width="16.109375" bestFit="1" customWidth="1"/>
    <col min="59" max="59" width="15.21875" bestFit="1" customWidth="1"/>
    <col min="60" max="60" width="18.6640625" bestFit="1" customWidth="1"/>
    <col min="61" max="61" width="13.21875" bestFit="1" customWidth="1"/>
    <col min="62" max="62" width="16.6640625" bestFit="1" customWidth="1"/>
    <col min="63" max="63" width="18.33203125" bestFit="1" customWidth="1"/>
    <col min="64" max="64" width="21.88671875" bestFit="1" customWidth="1"/>
    <col min="65" max="65" width="14.33203125" bestFit="1" customWidth="1"/>
    <col min="66" max="66" width="17.88671875" bestFit="1" customWidth="1"/>
    <col min="67" max="67" width="16" bestFit="1" customWidth="1"/>
    <col min="68" max="68" width="19.44140625" bestFit="1" customWidth="1"/>
    <col min="69" max="69" width="17.44140625" bestFit="1" customWidth="1"/>
    <col min="70" max="70" width="20.88671875" bestFit="1" customWidth="1"/>
    <col min="71" max="71" width="13" bestFit="1" customWidth="1"/>
    <col min="72" max="72" width="16.44140625" bestFit="1" customWidth="1"/>
    <col min="73" max="73" width="11" bestFit="1" customWidth="1"/>
    <col min="74" max="74" width="6" bestFit="1" customWidth="1"/>
    <col min="75" max="75" width="14.44140625" bestFit="1" customWidth="1"/>
    <col min="76" max="76" width="17" bestFit="1" customWidth="1"/>
    <col min="77" max="77" width="6" bestFit="1" customWidth="1"/>
    <col min="78" max="78" width="20.44140625" bestFit="1" customWidth="1"/>
    <col min="79" max="79" width="16.109375" bestFit="1" customWidth="1"/>
    <col min="80" max="80" width="19.5546875" bestFit="1" customWidth="1"/>
    <col min="81" max="81" width="16.88671875" bestFit="1" customWidth="1"/>
    <col min="82" max="82" width="20.33203125" bestFit="1" customWidth="1"/>
    <col min="83" max="83" width="11.5546875" bestFit="1" customWidth="1"/>
    <col min="84" max="84" width="15" bestFit="1" customWidth="1"/>
    <col min="85" max="85" width="12" bestFit="1" customWidth="1"/>
    <col min="86" max="86" width="15.44140625" bestFit="1" customWidth="1"/>
    <col min="87" max="87" width="14.77734375" bestFit="1" customWidth="1"/>
    <col min="88" max="88" width="18.21875" bestFit="1" customWidth="1"/>
    <col min="89" max="89" width="14.33203125" bestFit="1" customWidth="1"/>
    <col min="90" max="90" width="17.88671875" bestFit="1" customWidth="1"/>
    <col min="91" max="91" width="17.33203125" bestFit="1" customWidth="1"/>
    <col min="92" max="92" width="20.77734375" bestFit="1" customWidth="1"/>
    <col min="93" max="93" width="12" bestFit="1" customWidth="1"/>
    <col min="94" max="94" width="10" bestFit="1" customWidth="1"/>
    <col min="95" max="95" width="10.5546875" bestFit="1" customWidth="1"/>
    <col min="96" max="96" width="9.33203125" bestFit="1" customWidth="1"/>
    <col min="97" max="98" width="10.5546875" bestFit="1" customWidth="1"/>
    <col min="99" max="99" width="13.109375" bestFit="1" customWidth="1"/>
    <col min="100" max="100" width="10" bestFit="1" customWidth="1"/>
    <col min="101" max="101" width="10.5546875" bestFit="1" customWidth="1"/>
    <col min="102" max="102" width="14.33203125" bestFit="1" customWidth="1"/>
    <col min="103" max="103" width="10" bestFit="1" customWidth="1"/>
    <col min="104" max="104" width="10.5546875" bestFit="1" customWidth="1"/>
    <col min="105" max="105" width="9.33203125" bestFit="1" customWidth="1"/>
    <col min="106" max="106" width="10" bestFit="1" customWidth="1"/>
    <col min="107" max="107" width="10.5546875" bestFit="1" customWidth="1"/>
    <col min="108" max="108" width="14.44140625" bestFit="1" customWidth="1"/>
    <col min="109" max="109" width="10.5546875" bestFit="1" customWidth="1"/>
    <col min="110" max="110" width="11.5546875" bestFit="1" customWidth="1"/>
    <col min="111" max="111" width="10.109375" bestFit="1" customWidth="1"/>
    <col min="112" max="112" width="10" bestFit="1" customWidth="1"/>
    <col min="113" max="113" width="11.5546875" bestFit="1" customWidth="1"/>
    <col min="114" max="114" width="9.21875" bestFit="1" customWidth="1"/>
    <col min="115" max="115" width="10" bestFit="1" customWidth="1"/>
    <col min="116" max="116" width="11.5546875" bestFit="1" customWidth="1"/>
    <col min="117" max="117" width="14.44140625" bestFit="1" customWidth="1"/>
    <col min="118" max="118" width="10" bestFit="1" customWidth="1"/>
    <col min="119" max="119" width="11.5546875" bestFit="1" customWidth="1"/>
    <col min="120" max="120" width="15.21875" bestFit="1" customWidth="1"/>
    <col min="121" max="121" width="10.5546875" bestFit="1" customWidth="1"/>
    <col min="122" max="122" width="11.5546875" bestFit="1" customWidth="1"/>
    <col min="123" max="123" width="14.6640625" bestFit="1" customWidth="1"/>
    <col min="124" max="124" width="10" bestFit="1" customWidth="1"/>
    <col min="125" max="126" width="11.5546875" bestFit="1" customWidth="1"/>
    <col min="127" max="127" width="10" bestFit="1" customWidth="1"/>
    <col min="128" max="128" width="11.5546875" bestFit="1" customWidth="1"/>
    <col min="129" max="129" width="11.33203125" bestFit="1" customWidth="1"/>
    <col min="130" max="130" width="10.5546875" bestFit="1" customWidth="1"/>
    <col min="131" max="131" width="11.5546875" bestFit="1" customWidth="1"/>
    <col min="132" max="132" width="14.33203125" bestFit="1" customWidth="1"/>
    <col min="133" max="133" width="10" bestFit="1" customWidth="1"/>
    <col min="134" max="134" width="11.5546875" bestFit="1" customWidth="1"/>
    <col min="135" max="135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</v>
      </c>
    </row>
    <row r="2" spans="1:7" x14ac:dyDescent="0.3">
      <c r="A2" s="1" t="s">
        <v>6</v>
      </c>
      <c r="B2" s="1" t="s">
        <v>7</v>
      </c>
      <c r="C2" s="1" t="s">
        <v>8</v>
      </c>
      <c r="D2" s="1" t="s">
        <v>9</v>
      </c>
      <c r="E2">
        <v>84.42</v>
      </c>
      <c r="F2">
        <v>106</v>
      </c>
      <c r="G2" s="1">
        <f>podatki[[#This Row],[čas]]+podatki[[#This Row],[kazen]]</f>
        <v>190.42000000000002</v>
      </c>
    </row>
    <row r="3" spans="1:7" x14ac:dyDescent="0.3">
      <c r="A3" s="1" t="s">
        <v>6</v>
      </c>
      <c r="B3" s="1" t="s">
        <v>7</v>
      </c>
      <c r="C3" s="1" t="s">
        <v>10</v>
      </c>
      <c r="D3" s="1" t="s">
        <v>11</v>
      </c>
      <c r="E3">
        <v>82</v>
      </c>
      <c r="F3">
        <v>0</v>
      </c>
      <c r="G3" s="1">
        <f>podatki[[#This Row],[čas]]+podatki[[#This Row],[kazen]]</f>
        <v>82</v>
      </c>
    </row>
    <row r="4" spans="1:7" x14ac:dyDescent="0.3">
      <c r="A4" s="1" t="s">
        <v>6</v>
      </c>
      <c r="B4" s="1" t="s">
        <v>7</v>
      </c>
      <c r="C4" s="1" t="s">
        <v>12</v>
      </c>
      <c r="D4" s="1" t="s">
        <v>13</v>
      </c>
      <c r="E4">
        <v>79.069999999999993</v>
      </c>
      <c r="F4">
        <v>0</v>
      </c>
      <c r="G4" s="1">
        <f>podatki[[#This Row],[čas]]+podatki[[#This Row],[kazen]]</f>
        <v>79.069999999999993</v>
      </c>
    </row>
    <row r="5" spans="1:7" x14ac:dyDescent="0.3">
      <c r="A5" s="1" t="s">
        <v>6</v>
      </c>
      <c r="B5" s="1" t="s">
        <v>7</v>
      </c>
      <c r="C5" s="1" t="s">
        <v>14</v>
      </c>
      <c r="D5" s="1" t="s">
        <v>11</v>
      </c>
      <c r="E5">
        <v>84.52</v>
      </c>
      <c r="F5">
        <v>50</v>
      </c>
      <c r="G5" s="1">
        <f>podatki[[#This Row],[čas]]+podatki[[#This Row],[kazen]]</f>
        <v>134.51999999999998</v>
      </c>
    </row>
    <row r="6" spans="1:7" x14ac:dyDescent="0.3">
      <c r="A6" s="1" t="s">
        <v>6</v>
      </c>
      <c r="B6" s="1" t="s">
        <v>7</v>
      </c>
      <c r="C6" s="1" t="s">
        <v>15</v>
      </c>
      <c r="D6" s="1" t="s">
        <v>16</v>
      </c>
      <c r="E6">
        <v>83.31</v>
      </c>
      <c r="F6">
        <v>0</v>
      </c>
      <c r="G6" s="1">
        <f>podatki[[#This Row],[čas]]+podatki[[#This Row],[kazen]]</f>
        <v>83.31</v>
      </c>
    </row>
    <row r="7" spans="1:7" x14ac:dyDescent="0.3">
      <c r="A7" s="1" t="s">
        <v>6</v>
      </c>
      <c r="B7" s="1" t="s">
        <v>7</v>
      </c>
      <c r="C7" s="1" t="s">
        <v>17</v>
      </c>
      <c r="D7" s="1" t="s">
        <v>18</v>
      </c>
      <c r="E7">
        <v>81.87</v>
      </c>
      <c r="F7">
        <v>0</v>
      </c>
      <c r="G7" s="1">
        <f>podatki[[#This Row],[čas]]+podatki[[#This Row],[kazen]]</f>
        <v>81.87</v>
      </c>
    </row>
    <row r="8" spans="1:7" x14ac:dyDescent="0.3">
      <c r="A8" s="1" t="s">
        <v>6</v>
      </c>
      <c r="B8" s="1" t="s">
        <v>7</v>
      </c>
      <c r="C8" s="1" t="s">
        <v>19</v>
      </c>
      <c r="D8" s="1" t="s">
        <v>20</v>
      </c>
      <c r="E8">
        <v>81.349999999999994</v>
      </c>
      <c r="F8">
        <v>0</v>
      </c>
      <c r="G8" s="1">
        <f>podatki[[#This Row],[čas]]+podatki[[#This Row],[kazen]]</f>
        <v>81.349999999999994</v>
      </c>
    </row>
    <row r="9" spans="1:7" x14ac:dyDescent="0.3">
      <c r="A9" s="1" t="s">
        <v>6</v>
      </c>
      <c r="B9" s="1" t="s">
        <v>7</v>
      </c>
      <c r="C9" s="1" t="s">
        <v>21</v>
      </c>
      <c r="D9" s="1" t="s">
        <v>22</v>
      </c>
      <c r="E9">
        <v>85.7</v>
      </c>
      <c r="F9">
        <v>4</v>
      </c>
      <c r="G9" s="1">
        <f>podatki[[#This Row],[čas]]+podatki[[#This Row],[kazen]]</f>
        <v>89.7</v>
      </c>
    </row>
    <row r="10" spans="1:7" x14ac:dyDescent="0.3">
      <c r="A10" s="1" t="s">
        <v>6</v>
      </c>
      <c r="B10" s="1" t="s">
        <v>7</v>
      </c>
      <c r="C10" s="1" t="s">
        <v>23</v>
      </c>
      <c r="D10" s="1" t="s">
        <v>24</v>
      </c>
      <c r="E10">
        <v>81.28</v>
      </c>
      <c r="F10">
        <v>0</v>
      </c>
      <c r="G10" s="1">
        <f>podatki[[#This Row],[čas]]+podatki[[#This Row],[kazen]]</f>
        <v>81.28</v>
      </c>
    </row>
    <row r="11" spans="1:7" x14ac:dyDescent="0.3">
      <c r="A11" s="1" t="s">
        <v>6</v>
      </c>
      <c r="B11" s="1" t="s">
        <v>7</v>
      </c>
      <c r="C11" s="1" t="s">
        <v>25</v>
      </c>
      <c r="D11" s="1" t="s">
        <v>18</v>
      </c>
      <c r="E11">
        <v>86.99</v>
      </c>
      <c r="F11">
        <v>6</v>
      </c>
      <c r="G11" s="1">
        <f>podatki[[#This Row],[čas]]+podatki[[#This Row],[kazen]]</f>
        <v>92.99</v>
      </c>
    </row>
    <row r="12" spans="1:7" x14ac:dyDescent="0.3">
      <c r="A12" s="1" t="s">
        <v>6</v>
      </c>
      <c r="B12" s="1" t="s">
        <v>26</v>
      </c>
      <c r="C12" s="1" t="s">
        <v>27</v>
      </c>
      <c r="D12" s="1" t="s">
        <v>20</v>
      </c>
      <c r="E12">
        <v>96.03</v>
      </c>
      <c r="F12">
        <v>4</v>
      </c>
      <c r="G12" s="1">
        <f>podatki[[#This Row],[čas]]+podatki[[#This Row],[kazen]]</f>
        <v>100.03</v>
      </c>
    </row>
    <row r="13" spans="1:7" x14ac:dyDescent="0.3">
      <c r="A13" s="1" t="s">
        <v>6</v>
      </c>
      <c r="B13" s="1" t="s">
        <v>26</v>
      </c>
      <c r="C13" s="1" t="s">
        <v>28</v>
      </c>
      <c r="D13" s="1" t="s">
        <v>29</v>
      </c>
      <c r="E13">
        <v>90.29</v>
      </c>
      <c r="F13">
        <v>4</v>
      </c>
      <c r="G13" s="1">
        <f>podatki[[#This Row],[čas]]+podatki[[#This Row],[kazen]]</f>
        <v>94.29</v>
      </c>
    </row>
    <row r="14" spans="1:7" x14ac:dyDescent="0.3">
      <c r="A14" s="1" t="s">
        <v>6</v>
      </c>
      <c r="B14" s="1" t="s">
        <v>26</v>
      </c>
      <c r="C14" s="1" t="s">
        <v>30</v>
      </c>
      <c r="D14" s="1" t="s">
        <v>31</v>
      </c>
      <c r="E14">
        <v>90.4</v>
      </c>
      <c r="F14">
        <v>4</v>
      </c>
      <c r="G14" s="1">
        <f>podatki[[#This Row],[čas]]+podatki[[#This Row],[kazen]]</f>
        <v>94.4</v>
      </c>
    </row>
    <row r="15" spans="1:7" x14ac:dyDescent="0.3">
      <c r="A15" s="1" t="s">
        <v>6</v>
      </c>
      <c r="B15" s="1" t="s">
        <v>26</v>
      </c>
      <c r="C15" s="1" t="s">
        <v>32</v>
      </c>
      <c r="D15" s="1" t="s">
        <v>20</v>
      </c>
      <c r="E15">
        <v>93.35</v>
      </c>
      <c r="F15">
        <v>2</v>
      </c>
      <c r="G15" s="1">
        <f>podatki[[#This Row],[čas]]+podatki[[#This Row],[kazen]]</f>
        <v>95.35</v>
      </c>
    </row>
    <row r="16" spans="1:7" x14ac:dyDescent="0.3">
      <c r="A16" s="1" t="s">
        <v>6</v>
      </c>
      <c r="B16" s="1" t="s">
        <v>26</v>
      </c>
      <c r="C16" s="1" t="s">
        <v>33</v>
      </c>
      <c r="D16" s="1" t="s">
        <v>34</v>
      </c>
      <c r="E16">
        <v>93.15</v>
      </c>
      <c r="F16">
        <v>2</v>
      </c>
      <c r="G16" s="1">
        <f>podatki[[#This Row],[čas]]+podatki[[#This Row],[kazen]]</f>
        <v>95.15</v>
      </c>
    </row>
    <row r="17" spans="1:16" x14ac:dyDescent="0.3">
      <c r="A17" s="1" t="s">
        <v>6</v>
      </c>
      <c r="B17" s="1" t="s">
        <v>26</v>
      </c>
      <c r="C17" s="1" t="s">
        <v>35</v>
      </c>
      <c r="D17" s="1" t="s">
        <v>36</v>
      </c>
      <c r="E17">
        <v>96.03</v>
      </c>
      <c r="F17">
        <v>2</v>
      </c>
      <c r="G17" s="1">
        <f>podatki[[#This Row],[čas]]+podatki[[#This Row],[kazen]]</f>
        <v>98.03</v>
      </c>
    </row>
    <row r="18" spans="1:16" x14ac:dyDescent="0.3">
      <c r="A18" s="1" t="s">
        <v>6</v>
      </c>
      <c r="B18" s="1" t="s">
        <v>26</v>
      </c>
      <c r="C18" s="1" t="s">
        <v>37</v>
      </c>
      <c r="D18" s="1" t="s">
        <v>20</v>
      </c>
      <c r="E18">
        <v>94.71</v>
      </c>
      <c r="F18">
        <v>2</v>
      </c>
      <c r="G18" s="1">
        <f>podatki[[#This Row],[čas]]+podatki[[#This Row],[kazen]]</f>
        <v>96.71</v>
      </c>
    </row>
    <row r="19" spans="1:16" x14ac:dyDescent="0.3">
      <c r="A19" s="1" t="s">
        <v>6</v>
      </c>
      <c r="B19" s="1" t="s">
        <v>26</v>
      </c>
      <c r="C19" s="1" t="s">
        <v>38</v>
      </c>
      <c r="D19" s="1" t="s">
        <v>18</v>
      </c>
      <c r="E19">
        <v>94.62</v>
      </c>
      <c r="F19">
        <v>0</v>
      </c>
      <c r="G19" s="1">
        <f>podatki[[#This Row],[čas]]+podatki[[#This Row],[kazen]]</f>
        <v>94.62</v>
      </c>
    </row>
    <row r="20" spans="1:16" x14ac:dyDescent="0.3">
      <c r="A20" s="1" t="s">
        <v>6</v>
      </c>
      <c r="B20" s="1" t="s">
        <v>26</v>
      </c>
      <c r="C20" s="1" t="s">
        <v>39</v>
      </c>
      <c r="D20" s="1" t="s">
        <v>11</v>
      </c>
      <c r="E20">
        <v>94.12</v>
      </c>
      <c r="F20">
        <v>0</v>
      </c>
      <c r="G20" s="1">
        <f>podatki[[#This Row],[čas]]+podatki[[#This Row],[kazen]]</f>
        <v>94.12</v>
      </c>
    </row>
    <row r="21" spans="1:16" x14ac:dyDescent="0.3">
      <c r="A21" s="1" t="s">
        <v>6</v>
      </c>
      <c r="B21" s="1" t="s">
        <v>26</v>
      </c>
      <c r="C21" s="1" t="s">
        <v>40</v>
      </c>
      <c r="D21" s="1" t="s">
        <v>41</v>
      </c>
      <c r="E21">
        <v>93.36</v>
      </c>
      <c r="F21">
        <v>2</v>
      </c>
      <c r="G21" s="1">
        <f>podatki[[#This Row],[čas]]+podatki[[#This Row],[kazen]]</f>
        <v>95.36</v>
      </c>
    </row>
    <row r="22" spans="1:16" x14ac:dyDescent="0.3">
      <c r="A22" s="1" t="s">
        <v>42</v>
      </c>
      <c r="B22" s="1" t="s">
        <v>7</v>
      </c>
      <c r="C22" s="1" t="s">
        <v>43</v>
      </c>
      <c r="D22" s="1" t="s">
        <v>31</v>
      </c>
      <c r="E22">
        <v>92.89</v>
      </c>
      <c r="F22">
        <v>2</v>
      </c>
      <c r="G22" s="1">
        <f>podatki[[#This Row],[čas]]+podatki[[#This Row],[kazen]]</f>
        <v>94.89</v>
      </c>
    </row>
    <row r="23" spans="1:16" x14ac:dyDescent="0.3">
      <c r="A23" s="1" t="s">
        <v>42</v>
      </c>
      <c r="B23" s="1" t="s">
        <v>7</v>
      </c>
      <c r="C23" s="1" t="s">
        <v>44</v>
      </c>
      <c r="D23" s="1" t="s">
        <v>29</v>
      </c>
      <c r="E23">
        <v>92.63</v>
      </c>
      <c r="F23">
        <v>2</v>
      </c>
      <c r="G23" s="1">
        <f>podatki[[#This Row],[čas]]+podatki[[#This Row],[kazen]]</f>
        <v>94.63</v>
      </c>
    </row>
    <row r="24" spans="1:16" x14ac:dyDescent="0.3">
      <c r="A24" s="1" t="s">
        <v>42</v>
      </c>
      <c r="B24" s="1" t="s">
        <v>7</v>
      </c>
      <c r="C24" s="1" t="s">
        <v>45</v>
      </c>
      <c r="D24" s="1" t="s">
        <v>46</v>
      </c>
      <c r="E24">
        <v>91.94</v>
      </c>
      <c r="F24">
        <v>0</v>
      </c>
      <c r="G24" s="1">
        <f>podatki[[#This Row],[čas]]+podatki[[#This Row],[kazen]]</f>
        <v>91.94</v>
      </c>
    </row>
    <row r="25" spans="1:16" x14ac:dyDescent="0.3">
      <c r="A25" s="1" t="s">
        <v>42</v>
      </c>
      <c r="B25" s="1" t="s">
        <v>7</v>
      </c>
      <c r="C25" s="1" t="s">
        <v>47</v>
      </c>
      <c r="D25" s="1" t="s">
        <v>11</v>
      </c>
      <c r="E25">
        <v>94.52</v>
      </c>
      <c r="F25">
        <v>50</v>
      </c>
      <c r="G25" s="1">
        <f>podatki[[#This Row],[čas]]+podatki[[#This Row],[kazen]]</f>
        <v>144.51999999999998</v>
      </c>
      <c r="O25" s="2" t="s">
        <v>65</v>
      </c>
      <c r="P25" t="s">
        <v>63</v>
      </c>
    </row>
    <row r="26" spans="1:16" x14ac:dyDescent="0.3">
      <c r="A26" s="1" t="s">
        <v>42</v>
      </c>
      <c r="B26" s="1" t="s">
        <v>7</v>
      </c>
      <c r="C26" s="1" t="s">
        <v>48</v>
      </c>
      <c r="D26" s="1" t="s">
        <v>11</v>
      </c>
      <c r="E26">
        <v>95.54</v>
      </c>
      <c r="F26">
        <v>2</v>
      </c>
      <c r="G26" s="1">
        <f>podatki[[#This Row],[čas]]+podatki[[#This Row],[kazen]]</f>
        <v>97.54</v>
      </c>
      <c r="O26" s="3" t="s">
        <v>6</v>
      </c>
      <c r="P26" s="1">
        <v>1954.57</v>
      </c>
    </row>
    <row r="27" spans="1:16" x14ac:dyDescent="0.3">
      <c r="A27" s="1" t="s">
        <v>42</v>
      </c>
      <c r="B27" s="1" t="s">
        <v>7</v>
      </c>
      <c r="C27" s="1" t="s">
        <v>49</v>
      </c>
      <c r="D27" s="1" t="s">
        <v>11</v>
      </c>
      <c r="E27">
        <v>86.43</v>
      </c>
      <c r="F27">
        <v>2</v>
      </c>
      <c r="G27" s="1">
        <f>podatki[[#This Row],[čas]]+podatki[[#This Row],[kazen]]</f>
        <v>88.43</v>
      </c>
      <c r="O27" s="4" t="s">
        <v>7</v>
      </c>
      <c r="P27" s="1">
        <v>996.51</v>
      </c>
    </row>
    <row r="28" spans="1:16" x14ac:dyDescent="0.3">
      <c r="A28" s="1" t="s">
        <v>42</v>
      </c>
      <c r="B28" s="1" t="s">
        <v>7</v>
      </c>
      <c r="C28" s="1" t="s">
        <v>50</v>
      </c>
      <c r="D28" s="1" t="s">
        <v>46</v>
      </c>
      <c r="E28">
        <v>89.81</v>
      </c>
      <c r="F28">
        <v>2</v>
      </c>
      <c r="G28" s="1">
        <f>podatki[[#This Row],[čas]]+podatki[[#This Row],[kazen]]</f>
        <v>91.81</v>
      </c>
      <c r="O28" s="5" t="s">
        <v>12</v>
      </c>
      <c r="P28" s="1">
        <v>79.069999999999993</v>
      </c>
    </row>
    <row r="29" spans="1:16" x14ac:dyDescent="0.3">
      <c r="A29" s="1" t="s">
        <v>42</v>
      </c>
      <c r="B29" s="1" t="s">
        <v>7</v>
      </c>
      <c r="C29" s="1" t="s">
        <v>51</v>
      </c>
      <c r="D29" s="1" t="s">
        <v>20</v>
      </c>
      <c r="E29">
        <v>86.32</v>
      </c>
      <c r="F29">
        <v>0</v>
      </c>
      <c r="G29" s="1">
        <f>podatki[[#This Row],[čas]]+podatki[[#This Row],[kazen]]</f>
        <v>86.32</v>
      </c>
      <c r="O29" s="5" t="s">
        <v>23</v>
      </c>
      <c r="P29" s="1">
        <v>81.28</v>
      </c>
    </row>
    <row r="30" spans="1:16" x14ac:dyDescent="0.3">
      <c r="A30" s="1" t="s">
        <v>42</v>
      </c>
      <c r="B30" s="1" t="s">
        <v>7</v>
      </c>
      <c r="C30" s="1" t="s">
        <v>52</v>
      </c>
      <c r="D30" s="1" t="s">
        <v>18</v>
      </c>
      <c r="E30">
        <v>87.14</v>
      </c>
      <c r="F30">
        <v>0</v>
      </c>
      <c r="G30" s="1">
        <f>podatki[[#This Row],[čas]]+podatki[[#This Row],[kazen]]</f>
        <v>87.14</v>
      </c>
      <c r="O30" s="5" t="s">
        <v>19</v>
      </c>
      <c r="P30" s="1">
        <v>81.349999999999994</v>
      </c>
    </row>
    <row r="31" spans="1:16" x14ac:dyDescent="0.3">
      <c r="A31" s="1" t="s">
        <v>42</v>
      </c>
      <c r="B31" s="1" t="s">
        <v>7</v>
      </c>
      <c r="C31" s="1" t="s">
        <v>53</v>
      </c>
      <c r="D31" s="1" t="s">
        <v>31</v>
      </c>
      <c r="E31">
        <v>85.25</v>
      </c>
      <c r="F31">
        <v>4</v>
      </c>
      <c r="G31" s="1">
        <f>podatki[[#This Row],[čas]]+podatki[[#This Row],[kazen]]</f>
        <v>89.25</v>
      </c>
      <c r="O31" s="5" t="s">
        <v>17</v>
      </c>
      <c r="P31" s="1">
        <v>81.87</v>
      </c>
    </row>
    <row r="32" spans="1:16" x14ac:dyDescent="0.3">
      <c r="A32" s="1" t="s">
        <v>42</v>
      </c>
      <c r="B32" s="1" t="s">
        <v>26</v>
      </c>
      <c r="C32" s="1" t="s">
        <v>54</v>
      </c>
      <c r="D32" s="1" t="s">
        <v>31</v>
      </c>
      <c r="E32">
        <v>102.77</v>
      </c>
      <c r="F32">
        <v>0</v>
      </c>
      <c r="G32" s="1">
        <f>podatki[[#This Row],[čas]]+podatki[[#This Row],[kazen]]</f>
        <v>102.77</v>
      </c>
      <c r="O32" s="5" t="s">
        <v>10</v>
      </c>
      <c r="P32" s="1">
        <v>82</v>
      </c>
    </row>
    <row r="33" spans="1:16" x14ac:dyDescent="0.3">
      <c r="A33" s="1" t="s">
        <v>42</v>
      </c>
      <c r="B33" s="1" t="s">
        <v>26</v>
      </c>
      <c r="C33" s="1" t="s">
        <v>28</v>
      </c>
      <c r="D33" s="1" t="s">
        <v>29</v>
      </c>
      <c r="E33">
        <v>93.94</v>
      </c>
      <c r="F33">
        <v>4</v>
      </c>
      <c r="G33" s="1">
        <f>podatki[[#This Row],[čas]]+podatki[[#This Row],[kazen]]</f>
        <v>97.94</v>
      </c>
      <c r="O33" s="5" t="s">
        <v>15</v>
      </c>
      <c r="P33" s="1">
        <v>83.31</v>
      </c>
    </row>
    <row r="34" spans="1:16" x14ac:dyDescent="0.3">
      <c r="A34" s="1" t="s">
        <v>42</v>
      </c>
      <c r="B34" s="1" t="s">
        <v>26</v>
      </c>
      <c r="C34" s="1" t="s">
        <v>55</v>
      </c>
      <c r="D34" s="1" t="s">
        <v>41</v>
      </c>
      <c r="E34">
        <v>82.42</v>
      </c>
      <c r="F34">
        <v>252</v>
      </c>
      <c r="G34" s="1">
        <f>podatki[[#This Row],[čas]]+podatki[[#This Row],[kazen]]</f>
        <v>334.42</v>
      </c>
      <c r="O34" s="5" t="s">
        <v>21</v>
      </c>
      <c r="P34" s="1">
        <v>89.7</v>
      </c>
    </row>
    <row r="35" spans="1:16" x14ac:dyDescent="0.3">
      <c r="A35" s="1" t="s">
        <v>42</v>
      </c>
      <c r="B35" s="1" t="s">
        <v>26</v>
      </c>
      <c r="C35" s="1" t="s">
        <v>56</v>
      </c>
      <c r="D35" s="1" t="s">
        <v>31</v>
      </c>
      <c r="E35">
        <v>96.43</v>
      </c>
      <c r="F35">
        <v>2</v>
      </c>
      <c r="G35" s="1">
        <f>podatki[[#This Row],[čas]]+podatki[[#This Row],[kazen]]</f>
        <v>98.43</v>
      </c>
      <c r="O35" s="5" t="s">
        <v>25</v>
      </c>
      <c r="P35" s="1">
        <v>92.99</v>
      </c>
    </row>
    <row r="36" spans="1:16" x14ac:dyDescent="0.3">
      <c r="A36" s="1" t="s">
        <v>42</v>
      </c>
      <c r="B36" s="1" t="s">
        <v>26</v>
      </c>
      <c r="C36" s="1" t="s">
        <v>57</v>
      </c>
      <c r="D36" s="1" t="s">
        <v>11</v>
      </c>
      <c r="E36">
        <v>102.22</v>
      </c>
      <c r="F36">
        <v>0</v>
      </c>
      <c r="G36" s="1">
        <f>podatki[[#This Row],[čas]]+podatki[[#This Row],[kazen]]</f>
        <v>102.22</v>
      </c>
      <c r="O36" s="5" t="s">
        <v>14</v>
      </c>
      <c r="P36" s="1">
        <v>134.51999999999998</v>
      </c>
    </row>
    <row r="37" spans="1:16" x14ac:dyDescent="0.3">
      <c r="A37" s="1" t="s">
        <v>42</v>
      </c>
      <c r="B37" s="1" t="s">
        <v>26</v>
      </c>
      <c r="C37" s="1" t="s">
        <v>58</v>
      </c>
      <c r="D37" s="1" t="s">
        <v>59</v>
      </c>
      <c r="E37">
        <v>112.37</v>
      </c>
      <c r="F37">
        <v>50</v>
      </c>
      <c r="G37" s="1">
        <f>podatki[[#This Row],[čas]]+podatki[[#This Row],[kazen]]</f>
        <v>162.37</v>
      </c>
      <c r="O37" s="5" t="s">
        <v>8</v>
      </c>
      <c r="P37" s="1">
        <v>190.42000000000002</v>
      </c>
    </row>
    <row r="38" spans="1:16" x14ac:dyDescent="0.3">
      <c r="A38" s="1" t="s">
        <v>42</v>
      </c>
      <c r="B38" s="1" t="s">
        <v>26</v>
      </c>
      <c r="C38" s="1" t="s">
        <v>60</v>
      </c>
      <c r="D38" s="1" t="s">
        <v>46</v>
      </c>
      <c r="E38">
        <v>98.56</v>
      </c>
      <c r="F38">
        <v>0</v>
      </c>
      <c r="G38" s="1">
        <f>podatki[[#This Row],[čas]]+podatki[[#This Row],[kazen]]</f>
        <v>98.56</v>
      </c>
      <c r="O38" s="4" t="s">
        <v>26</v>
      </c>
      <c r="P38" s="1">
        <v>958.06000000000006</v>
      </c>
    </row>
    <row r="39" spans="1:16" x14ac:dyDescent="0.3">
      <c r="A39" s="1" t="s">
        <v>42</v>
      </c>
      <c r="B39" s="1" t="s">
        <v>26</v>
      </c>
      <c r="C39" s="1" t="s">
        <v>35</v>
      </c>
      <c r="D39" s="1" t="s">
        <v>36</v>
      </c>
      <c r="E39">
        <v>98.67</v>
      </c>
      <c r="F39">
        <v>0</v>
      </c>
      <c r="G39" s="1">
        <f>podatki[[#This Row],[čas]]+podatki[[#This Row],[kazen]]</f>
        <v>98.67</v>
      </c>
      <c r="O39" s="5" t="s">
        <v>39</v>
      </c>
      <c r="P39" s="1">
        <v>94.12</v>
      </c>
    </row>
    <row r="40" spans="1:16" x14ac:dyDescent="0.3">
      <c r="A40" s="1" t="s">
        <v>42</v>
      </c>
      <c r="B40" s="1" t="s">
        <v>26</v>
      </c>
      <c r="C40" s="1" t="s">
        <v>37</v>
      </c>
      <c r="D40" s="1" t="s">
        <v>20</v>
      </c>
      <c r="E40">
        <v>94.35</v>
      </c>
      <c r="F40">
        <v>2</v>
      </c>
      <c r="G40" s="1">
        <f>podatki[[#This Row],[čas]]+podatki[[#This Row],[kazen]]</f>
        <v>96.35</v>
      </c>
      <c r="O40" s="5" t="s">
        <v>28</v>
      </c>
      <c r="P40" s="1">
        <v>94.29</v>
      </c>
    </row>
    <row r="41" spans="1:16" x14ac:dyDescent="0.3">
      <c r="A41" s="1" t="s">
        <v>42</v>
      </c>
      <c r="B41" s="1" t="s">
        <v>26</v>
      </c>
      <c r="C41" s="1" t="s">
        <v>61</v>
      </c>
      <c r="D41" s="1" t="s">
        <v>20</v>
      </c>
      <c r="E41">
        <v>102.85</v>
      </c>
      <c r="F41">
        <v>2</v>
      </c>
      <c r="G41" s="1">
        <f>podatki[[#This Row],[čas]]+podatki[[#This Row],[kazen]]</f>
        <v>104.85</v>
      </c>
      <c r="O41" s="5" t="s">
        <v>30</v>
      </c>
      <c r="P41" s="1">
        <v>94.4</v>
      </c>
    </row>
    <row r="42" spans="1:16" x14ac:dyDescent="0.3">
      <c r="O42" s="5" t="s">
        <v>38</v>
      </c>
      <c r="P42" s="1">
        <v>94.62</v>
      </c>
    </row>
    <row r="43" spans="1:16" x14ac:dyDescent="0.3">
      <c r="O43" s="5" t="s">
        <v>33</v>
      </c>
      <c r="P43" s="1">
        <v>95.15</v>
      </c>
    </row>
    <row r="44" spans="1:16" x14ac:dyDescent="0.3">
      <c r="O44" s="5" t="s">
        <v>32</v>
      </c>
      <c r="P44" s="1">
        <v>95.35</v>
      </c>
    </row>
    <row r="45" spans="1:16" x14ac:dyDescent="0.3">
      <c r="O45" s="5" t="s">
        <v>40</v>
      </c>
      <c r="P45" s="1">
        <v>95.36</v>
      </c>
    </row>
    <row r="46" spans="1:16" x14ac:dyDescent="0.3">
      <c r="O46" s="5" t="s">
        <v>37</v>
      </c>
      <c r="P46" s="1">
        <v>96.71</v>
      </c>
    </row>
    <row r="47" spans="1:16" x14ac:dyDescent="0.3">
      <c r="O47" s="5" t="s">
        <v>35</v>
      </c>
      <c r="P47" s="1">
        <v>98.03</v>
      </c>
    </row>
    <row r="48" spans="1:16" x14ac:dyDescent="0.3">
      <c r="O48" s="5" t="s">
        <v>27</v>
      </c>
      <c r="P48" s="1">
        <v>100.03</v>
      </c>
    </row>
    <row r="49" spans="15:16" x14ac:dyDescent="0.3">
      <c r="O49" s="3" t="s">
        <v>42</v>
      </c>
      <c r="P49" s="1">
        <v>2263.0500000000002</v>
      </c>
    </row>
    <row r="50" spans="15:16" x14ac:dyDescent="0.3">
      <c r="O50" s="4" t="s">
        <v>7</v>
      </c>
      <c r="P50" s="1">
        <v>966.46999999999991</v>
      </c>
    </row>
    <row r="51" spans="15:16" x14ac:dyDescent="0.3">
      <c r="O51" s="5" t="s">
        <v>51</v>
      </c>
      <c r="P51" s="1">
        <v>86.32</v>
      </c>
    </row>
    <row r="52" spans="15:16" x14ac:dyDescent="0.3">
      <c r="O52" s="5" t="s">
        <v>52</v>
      </c>
      <c r="P52" s="1">
        <v>87.14</v>
      </c>
    </row>
    <row r="53" spans="15:16" x14ac:dyDescent="0.3">
      <c r="O53" s="5" t="s">
        <v>49</v>
      </c>
      <c r="P53" s="1">
        <v>88.43</v>
      </c>
    </row>
    <row r="54" spans="15:16" x14ac:dyDescent="0.3">
      <c r="O54" s="5" t="s">
        <v>53</v>
      </c>
      <c r="P54" s="1">
        <v>89.25</v>
      </c>
    </row>
    <row r="55" spans="15:16" x14ac:dyDescent="0.3">
      <c r="O55" s="5" t="s">
        <v>50</v>
      </c>
      <c r="P55" s="1">
        <v>91.81</v>
      </c>
    </row>
    <row r="56" spans="15:16" x14ac:dyDescent="0.3">
      <c r="O56" s="5" t="s">
        <v>45</v>
      </c>
      <c r="P56" s="1">
        <v>91.94</v>
      </c>
    </row>
    <row r="57" spans="15:16" x14ac:dyDescent="0.3">
      <c r="O57" s="5" t="s">
        <v>44</v>
      </c>
      <c r="P57" s="1">
        <v>94.63</v>
      </c>
    </row>
    <row r="58" spans="15:16" x14ac:dyDescent="0.3">
      <c r="O58" s="5" t="s">
        <v>43</v>
      </c>
      <c r="P58" s="1">
        <v>94.89</v>
      </c>
    </row>
    <row r="59" spans="15:16" x14ac:dyDescent="0.3">
      <c r="O59" s="5" t="s">
        <v>48</v>
      </c>
      <c r="P59" s="1">
        <v>97.54</v>
      </c>
    </row>
    <row r="60" spans="15:16" x14ac:dyDescent="0.3">
      <c r="O60" s="5" t="s">
        <v>47</v>
      </c>
      <c r="P60" s="1">
        <v>144.51999999999998</v>
      </c>
    </row>
    <row r="61" spans="15:16" x14ac:dyDescent="0.3">
      <c r="O61" s="4" t="s">
        <v>26</v>
      </c>
      <c r="P61" s="1">
        <v>1296.58</v>
      </c>
    </row>
    <row r="62" spans="15:16" x14ac:dyDescent="0.3">
      <c r="O62" s="5" t="s">
        <v>37</v>
      </c>
      <c r="P62" s="1">
        <v>96.35</v>
      </c>
    </row>
    <row r="63" spans="15:16" x14ac:dyDescent="0.3">
      <c r="O63" s="5" t="s">
        <v>28</v>
      </c>
      <c r="P63" s="1">
        <v>97.94</v>
      </c>
    </row>
    <row r="64" spans="15:16" x14ac:dyDescent="0.3">
      <c r="O64" s="5" t="s">
        <v>56</v>
      </c>
      <c r="P64" s="1">
        <v>98.43</v>
      </c>
    </row>
    <row r="65" spans="15:16" x14ac:dyDescent="0.3">
      <c r="O65" s="5" t="s">
        <v>60</v>
      </c>
      <c r="P65" s="1">
        <v>98.56</v>
      </c>
    </row>
    <row r="66" spans="15:16" x14ac:dyDescent="0.3">
      <c r="O66" s="5" t="s">
        <v>35</v>
      </c>
      <c r="P66" s="1">
        <v>98.67</v>
      </c>
    </row>
    <row r="67" spans="15:16" x14ac:dyDescent="0.3">
      <c r="O67" s="5" t="s">
        <v>57</v>
      </c>
      <c r="P67" s="1">
        <v>102.22</v>
      </c>
    </row>
    <row r="68" spans="15:16" x14ac:dyDescent="0.3">
      <c r="O68" s="5" t="s">
        <v>54</v>
      </c>
      <c r="P68" s="1">
        <v>102.77</v>
      </c>
    </row>
    <row r="69" spans="15:16" x14ac:dyDescent="0.3">
      <c r="O69" s="5" t="s">
        <v>61</v>
      </c>
      <c r="P69" s="1">
        <v>104.85</v>
      </c>
    </row>
    <row r="70" spans="15:16" x14ac:dyDescent="0.3">
      <c r="O70" s="5" t="s">
        <v>58</v>
      </c>
      <c r="P70" s="1">
        <v>162.37</v>
      </c>
    </row>
    <row r="71" spans="15:16" x14ac:dyDescent="0.3">
      <c r="O71" s="5" t="s">
        <v>55</v>
      </c>
      <c r="P71" s="1">
        <v>334.42</v>
      </c>
    </row>
    <row r="72" spans="15:16" x14ac:dyDescent="0.3">
      <c r="O72" s="3" t="s">
        <v>64</v>
      </c>
      <c r="P72" s="1">
        <v>4217.62</v>
      </c>
    </row>
  </sheetData>
  <conditionalFormatting sqref="F2:F41">
    <cfRule type="cellIs" dxfId="2" priority="2" operator="equal">
      <formula>0</formula>
    </cfRule>
    <cfRule type="cellIs" dxfId="1" priority="1" operator="greaterThan">
      <formula>20</formula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69F6-9C74-480E-AEB6-9096C762046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59FC79-93A0-4DE3-8497-0D8F4FD8B0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podatki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 Jamnik</dc:creator>
  <cp:lastModifiedBy>Matej Jamnik</cp:lastModifiedBy>
  <dcterms:created xsi:type="dcterms:W3CDTF">2026-01-27T17:28:56Z</dcterms:created>
  <dcterms:modified xsi:type="dcterms:W3CDTF">2026-01-27T17:47:07Z</dcterms:modified>
</cp:coreProperties>
</file>