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aps\RP\racunalniski_praktikum\excel\"/>
    </mc:Choice>
  </mc:AlternateContent>
  <xr:revisionPtr revIDLastSave="0" documentId="8_{3764CA35-D2A8-497A-A0FC-EA66D1D3259C}" xr6:coauthVersionLast="47" xr6:coauthVersionMax="47" xr10:uidLastSave="{00000000-0000-0000-0000-000000000000}"/>
  <bookViews>
    <workbookView xWindow="-108" yWindow="-108" windowWidth="23256" windowHeight="12456" xr2:uid="{EA410ABD-B85A-4663-9E17-33F295AD9747}"/>
  </bookViews>
  <sheets>
    <sheet name="vhodni-podatki (1)" sheetId="2" r:id="rId1"/>
  </sheets>
  <definedNames>
    <definedName name="ExternalData_1" localSheetId="0" hidden="1">'vhodni-podatki (1)'!$A$1:$H$135</definedName>
  </definedName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 a="1"/>
  <c r="J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52" i="2" a="1"/>
  <c r="J52" i="2" s="1"/>
  <c r="J53" i="2" a="1"/>
  <c r="J53" i="2" s="1"/>
  <c r="J54" i="2" a="1"/>
  <c r="J54" i="2" s="1"/>
  <c r="J55" i="2" a="1"/>
  <c r="J55" i="2" s="1"/>
  <c r="J56" i="2" a="1"/>
  <c r="J56" i="2" s="1"/>
  <c r="J57" i="2" a="1"/>
  <c r="J57" i="2" s="1"/>
  <c r="J58" i="2" a="1"/>
  <c r="J58" i="2" s="1"/>
  <c r="J59" i="2" a="1"/>
  <c r="J59" i="2" s="1"/>
  <c r="J60" i="2" a="1"/>
  <c r="J60" i="2" s="1"/>
  <c r="J61" i="2" a="1"/>
  <c r="J61" i="2" s="1"/>
  <c r="J62" i="2" a="1"/>
  <c r="J62" i="2" s="1"/>
  <c r="J63" i="2" a="1"/>
  <c r="J63" i="2" s="1"/>
  <c r="J64" i="2" a="1"/>
  <c r="J64" i="2" s="1"/>
  <c r="J65" i="2" a="1"/>
  <c r="J65" i="2" s="1"/>
  <c r="J66" i="2" a="1"/>
  <c r="J66" i="2" s="1"/>
  <c r="J67" i="2" a="1"/>
  <c r="J67" i="2" s="1"/>
  <c r="J68" i="2" a="1"/>
  <c r="J68" i="2" s="1"/>
  <c r="J69" i="2" a="1"/>
  <c r="J69" i="2" s="1"/>
  <c r="J70" i="2" a="1"/>
  <c r="J70" i="2" s="1"/>
  <c r="J71" i="2" a="1"/>
  <c r="J71" i="2" s="1"/>
  <c r="J72" i="2" a="1"/>
  <c r="J72" i="2" s="1"/>
  <c r="J73" i="2" a="1"/>
  <c r="J73" i="2" s="1"/>
  <c r="J74" i="2" a="1"/>
  <c r="J74" i="2" s="1"/>
  <c r="J75" i="2" a="1"/>
  <c r="J75" i="2" s="1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J81" i="2" a="1"/>
  <c r="J81" i="2" s="1"/>
  <c r="J82" i="2" a="1"/>
  <c r="J82" i="2" s="1"/>
  <c r="J83" i="2" a="1"/>
  <c r="J83" i="2" s="1"/>
  <c r="J84" i="2" a="1"/>
  <c r="J84" i="2" s="1"/>
  <c r="J85" i="2" a="1"/>
  <c r="J85" i="2" s="1"/>
  <c r="J86" i="2" a="1"/>
  <c r="J86" i="2" s="1"/>
  <c r="J87" i="2" a="1"/>
  <c r="J87" i="2" s="1"/>
  <c r="J88" i="2" a="1"/>
  <c r="J88" i="2" s="1"/>
  <c r="J89" i="2" a="1"/>
  <c r="J89" i="2" s="1"/>
  <c r="J90" i="2" a="1"/>
  <c r="J90" i="2" s="1"/>
  <c r="J91" i="2" a="1"/>
  <c r="J91" i="2" s="1"/>
  <c r="J92" i="2" a="1"/>
  <c r="J92" i="2" s="1"/>
  <c r="J93" i="2" a="1"/>
  <c r="J93" i="2" s="1"/>
  <c r="J94" i="2" a="1"/>
  <c r="J94" i="2" s="1"/>
  <c r="J95" i="2" a="1"/>
  <c r="J95" i="2" s="1"/>
  <c r="J96" i="2" a="1"/>
  <c r="J96" i="2" s="1"/>
  <c r="J97" i="2" a="1"/>
  <c r="J97" i="2" s="1"/>
  <c r="J98" i="2" a="1"/>
  <c r="J98" i="2" s="1"/>
  <c r="J99" i="2" a="1"/>
  <c r="J99" i="2" s="1"/>
  <c r="J100" i="2" a="1"/>
  <c r="J100" i="2" s="1"/>
  <c r="J101" i="2" a="1"/>
  <c r="J101" i="2" s="1"/>
  <c r="J102" i="2" a="1"/>
  <c r="J102" i="2" s="1"/>
  <c r="J103" i="2" a="1"/>
  <c r="J103" i="2" s="1"/>
  <c r="J104" i="2" a="1"/>
  <c r="J104" i="2" s="1"/>
  <c r="J105" i="2" a="1"/>
  <c r="J105" i="2" s="1"/>
  <c r="J106" i="2" a="1"/>
  <c r="J106" i="2" s="1"/>
  <c r="J107" i="2" a="1"/>
  <c r="J107" i="2" s="1"/>
  <c r="J108" i="2" a="1"/>
  <c r="J108" i="2" s="1"/>
  <c r="J109" i="2" a="1"/>
  <c r="J109" i="2" s="1"/>
  <c r="J110" i="2" a="1"/>
  <c r="J110" i="2" s="1"/>
  <c r="J111" i="2" a="1"/>
  <c r="J111" i="2" s="1"/>
  <c r="J112" i="2" a="1"/>
  <c r="J112" i="2" s="1"/>
  <c r="J113" i="2" a="1"/>
  <c r="J113" i="2" s="1"/>
  <c r="J114" i="2" a="1"/>
  <c r="J114" i="2" s="1"/>
  <c r="J115" i="2" a="1"/>
  <c r="J115" i="2" s="1"/>
  <c r="J116" i="2" a="1"/>
  <c r="J116" i="2" s="1"/>
  <c r="J117" i="2" a="1"/>
  <c r="J117" i="2" s="1"/>
  <c r="J118" i="2" a="1"/>
  <c r="J118" i="2" s="1"/>
  <c r="J119" i="2" a="1"/>
  <c r="J119" i="2" s="1"/>
  <c r="J120" i="2" a="1"/>
  <c r="J120" i="2" s="1"/>
  <c r="J121" i="2" a="1"/>
  <c r="J121" i="2" s="1"/>
  <c r="J122" i="2" a="1"/>
  <c r="J122" i="2" s="1"/>
  <c r="J123" i="2" a="1"/>
  <c r="J123" i="2" s="1"/>
  <c r="J124" i="2" a="1"/>
  <c r="J124" i="2" s="1"/>
  <c r="J125" i="2" a="1"/>
  <c r="J125" i="2" s="1"/>
  <c r="J126" i="2" a="1"/>
  <c r="J126" i="2" s="1"/>
  <c r="J127" i="2" a="1"/>
  <c r="J127" i="2" s="1"/>
  <c r="J128" i="2" a="1"/>
  <c r="J128" i="2" s="1"/>
  <c r="J129" i="2" a="1"/>
  <c r="J129" i="2" s="1"/>
  <c r="J130" i="2" a="1"/>
  <c r="J130" i="2" s="1"/>
  <c r="J131" i="2" a="1"/>
  <c r="J131" i="2" s="1"/>
  <c r="J132" i="2" a="1"/>
  <c r="J132" i="2" s="1"/>
  <c r="J133" i="2" a="1"/>
  <c r="J133" i="2" s="1"/>
  <c r="J134" i="2" a="1"/>
  <c r="J134" i="2" s="1"/>
  <c r="J135" i="2" a="1"/>
  <c r="J135" i="2" s="1"/>
  <c r="I10" i="2"/>
  <c r="I2" i="2"/>
  <c r="I3" i="2"/>
  <c r="I4" i="2"/>
  <c r="I5" i="2"/>
  <c r="I6" i="2"/>
  <c r="I7" i="2"/>
  <c r="I8" i="2"/>
  <c r="I9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858780-9247-4B9A-8CAC-AF4205A7E265}" keepAlive="1" name="Poizvedba – vhodni-podatki (1)" description="Povezava s poizvedbo »vhodni-podatki (1)« v delovnem zvezku." type="5" refreshedVersion="8" background="1" saveData="1">
    <dbPr connection="Provider=Microsoft.Mashup.OleDb.1;Data Source=$Workbook$;Location=&quot;vhodni-podatki (1)&quot;;Extended Properties=&quot;&quot;" command="SELECT * FROM [vhodni-podatki (1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<sst xmlns="http://schemas.openxmlformats.org/spreadsheetml/2006/main" count="422" uniqueCount="247">
  <si>
    <t>Vpisna</t>
  </si>
  <si>
    <t>Program</t>
  </si>
  <si>
    <t>Priimek</t>
  </si>
  <si>
    <t>Ime</t>
  </si>
  <si>
    <t>HTML</t>
  </si>
  <si>
    <t>LaTeX</t>
  </si>
  <si>
    <t>Excel</t>
  </si>
  <si>
    <t>Mathematica</t>
  </si>
  <si>
    <t>MAT</t>
  </si>
  <si>
    <t>Kastelic</t>
  </si>
  <si>
    <t>Rafael</t>
  </si>
  <si>
    <t>FIN</t>
  </si>
  <si>
    <t>Zupan</t>
  </si>
  <si>
    <t>Željka</t>
  </si>
  <si>
    <t>Horvat</t>
  </si>
  <si>
    <t>Terezija</t>
  </si>
  <si>
    <t>APM</t>
  </si>
  <si>
    <t>Krmelj</t>
  </si>
  <si>
    <t>Marjan</t>
  </si>
  <si>
    <t>Jereb</t>
  </si>
  <si>
    <t>Tina</t>
  </si>
  <si>
    <t>Koren</t>
  </si>
  <si>
    <t>Hedvika</t>
  </si>
  <si>
    <t>Petrović</t>
  </si>
  <si>
    <t>Luka</t>
  </si>
  <si>
    <t>Mlakar</t>
  </si>
  <si>
    <t>Zvonko</t>
  </si>
  <si>
    <t>Kocjan</t>
  </si>
  <si>
    <t>Branko</t>
  </si>
  <si>
    <t>Šinkovec</t>
  </si>
  <si>
    <t>Uroš</t>
  </si>
  <si>
    <t>Božič</t>
  </si>
  <si>
    <t>Katarina</t>
  </si>
  <si>
    <t>Klemenčič</t>
  </si>
  <si>
    <t>Zdenka</t>
  </si>
  <si>
    <t>Hribar</t>
  </si>
  <si>
    <t>Tatjana</t>
  </si>
  <si>
    <t>Vovk</t>
  </si>
  <si>
    <t>Cecilija</t>
  </si>
  <si>
    <t>Verbič</t>
  </si>
  <si>
    <t>Blaž</t>
  </si>
  <si>
    <t>Miklavčič</t>
  </si>
  <si>
    <t>Špela</t>
  </si>
  <si>
    <t>Lesjak</t>
  </si>
  <si>
    <t>Samo</t>
  </si>
  <si>
    <t>Pirc</t>
  </si>
  <si>
    <t>Neža</t>
  </si>
  <si>
    <t>Eva</t>
  </si>
  <si>
    <t>Jasminka</t>
  </si>
  <si>
    <t>Gros</t>
  </si>
  <si>
    <t>Žarko</t>
  </si>
  <si>
    <t>Sever</t>
  </si>
  <si>
    <t>Helena</t>
  </si>
  <si>
    <t>Vidmar</t>
  </si>
  <si>
    <t>Hana</t>
  </si>
  <si>
    <t>Rozman</t>
  </si>
  <si>
    <t>Jan</t>
  </si>
  <si>
    <t>Brumen</t>
  </si>
  <si>
    <t>Kristjan</t>
  </si>
  <si>
    <t>Miklič</t>
  </si>
  <si>
    <t>Gal</t>
  </si>
  <si>
    <t>Domen</t>
  </si>
  <si>
    <t>Černe</t>
  </si>
  <si>
    <t>Nina</t>
  </si>
  <si>
    <t>Erna</t>
  </si>
  <si>
    <t>Marinšek</t>
  </si>
  <si>
    <t>Gregor</t>
  </si>
  <si>
    <t>PED</t>
  </si>
  <si>
    <t>Fink</t>
  </si>
  <si>
    <t>Klara</t>
  </si>
  <si>
    <t>Brezovar</t>
  </si>
  <si>
    <t>Pavla</t>
  </si>
  <si>
    <t>Pavlin</t>
  </si>
  <si>
    <t>Brina</t>
  </si>
  <si>
    <t>Klešnik</t>
  </si>
  <si>
    <t>Veronika</t>
  </si>
  <si>
    <t>Mahnič</t>
  </si>
  <si>
    <t>Urban</t>
  </si>
  <si>
    <t>Vid</t>
  </si>
  <si>
    <t>Potočnik</t>
  </si>
  <si>
    <t>Filip</t>
  </si>
  <si>
    <t>Rupnik</t>
  </si>
  <si>
    <t>Nik</t>
  </si>
  <si>
    <t>Kovšca</t>
  </si>
  <si>
    <t>Izidor</t>
  </si>
  <si>
    <t>Turk</t>
  </si>
  <si>
    <t>Feliks</t>
  </si>
  <si>
    <t>Modic</t>
  </si>
  <si>
    <t>Niko</t>
  </si>
  <si>
    <t>Kos</t>
  </si>
  <si>
    <t>Jaka</t>
  </si>
  <si>
    <t>Golob</t>
  </si>
  <si>
    <t>Maja</t>
  </si>
  <si>
    <t>Hren</t>
  </si>
  <si>
    <t>Jelka</t>
  </si>
  <si>
    <t>Štrukelj</t>
  </si>
  <si>
    <t>Zala</t>
  </si>
  <si>
    <t>Dolinar</t>
  </si>
  <si>
    <t>Franci</t>
  </si>
  <si>
    <t>Bohinc</t>
  </si>
  <si>
    <t>Lea</t>
  </si>
  <si>
    <t>Čepon</t>
  </si>
  <si>
    <t>Tadej</t>
  </si>
  <si>
    <t>Kovačič</t>
  </si>
  <si>
    <t>Cene</t>
  </si>
  <si>
    <t>Jenko</t>
  </si>
  <si>
    <t>Gabrijel</t>
  </si>
  <si>
    <t>Kočevar</t>
  </si>
  <si>
    <t>Alojz</t>
  </si>
  <si>
    <t>Fatur</t>
  </si>
  <si>
    <t>Matija</t>
  </si>
  <si>
    <t>Korbar</t>
  </si>
  <si>
    <t>Urška</t>
  </si>
  <si>
    <t>Gizela</t>
  </si>
  <si>
    <t>Meglič</t>
  </si>
  <si>
    <t>Fani</t>
  </si>
  <si>
    <t>Cerar</t>
  </si>
  <si>
    <t>Ignac</t>
  </si>
  <si>
    <t>Lidija</t>
  </si>
  <si>
    <t>Herman</t>
  </si>
  <si>
    <t>Medved</t>
  </si>
  <si>
    <t>Ivan</t>
  </si>
  <si>
    <t>Jernejc</t>
  </si>
  <si>
    <t>Jernej</t>
  </si>
  <si>
    <t>Slivnik</t>
  </si>
  <si>
    <t>Živa</t>
  </si>
  <si>
    <t>Gradišar</t>
  </si>
  <si>
    <t>Miha</t>
  </si>
  <si>
    <t>Kolman</t>
  </si>
  <si>
    <t>Irena</t>
  </si>
  <si>
    <t>Tavčar</t>
  </si>
  <si>
    <t>Franc</t>
  </si>
  <si>
    <t>Lovšin</t>
  </si>
  <si>
    <t>Polona</t>
  </si>
  <si>
    <t>Lužar</t>
  </si>
  <si>
    <t>Drago</t>
  </si>
  <si>
    <t>Vesna</t>
  </si>
  <si>
    <t>Oblak</t>
  </si>
  <si>
    <t>Pia</t>
  </si>
  <si>
    <t>Zajc</t>
  </si>
  <si>
    <t>Rotar</t>
  </si>
  <si>
    <t>Val</t>
  </si>
  <si>
    <t>Kralj</t>
  </si>
  <si>
    <t>Grega</t>
  </si>
  <si>
    <t>Murn</t>
  </si>
  <si>
    <t>Olga</t>
  </si>
  <si>
    <t>Kavčič</t>
  </si>
  <si>
    <t>Vita</t>
  </si>
  <si>
    <t>Kotnik</t>
  </si>
  <si>
    <t>Karmen</t>
  </si>
  <si>
    <t>Tomažič</t>
  </si>
  <si>
    <t>Oto</t>
  </si>
  <si>
    <t>Sara</t>
  </si>
  <si>
    <t>Klemen</t>
  </si>
  <si>
    <t>Damjan</t>
  </si>
  <si>
    <t>Hrovat</t>
  </si>
  <si>
    <t>Sebastjan</t>
  </si>
  <si>
    <t>Klopčič</t>
  </si>
  <si>
    <t>Denis</t>
  </si>
  <si>
    <t>Slapar</t>
  </si>
  <si>
    <t>Patrik</t>
  </si>
  <si>
    <t>Bor</t>
  </si>
  <si>
    <t>Danica</t>
  </si>
  <si>
    <t>Resnik</t>
  </si>
  <si>
    <t>Metka</t>
  </si>
  <si>
    <t>Jelen</t>
  </si>
  <si>
    <t>Erik</t>
  </si>
  <si>
    <t>Žagar</t>
  </si>
  <si>
    <t>Žan</t>
  </si>
  <si>
    <t>Pečar</t>
  </si>
  <si>
    <t>Alenka</t>
  </si>
  <si>
    <t>Kebe</t>
  </si>
  <si>
    <t>Hilda</t>
  </si>
  <si>
    <t>Jelenko</t>
  </si>
  <si>
    <t>Nikolaj</t>
  </si>
  <si>
    <t>Zupanc</t>
  </si>
  <si>
    <t>Darja</t>
  </si>
  <si>
    <t>David</t>
  </si>
  <si>
    <t>Krapež</t>
  </si>
  <si>
    <t>Elizabeta</t>
  </si>
  <si>
    <t>Iza</t>
  </si>
  <si>
    <t>Ema</t>
  </si>
  <si>
    <t>Francis</t>
  </si>
  <si>
    <t>Ana</t>
  </si>
  <si>
    <t>Lebe</t>
  </si>
  <si>
    <t>Petra</t>
  </si>
  <si>
    <t>Natasa</t>
  </si>
  <si>
    <t>Pintar</t>
  </si>
  <si>
    <t>Hugo</t>
  </si>
  <si>
    <t>Silvija</t>
  </si>
  <si>
    <t>Gregorčič</t>
  </si>
  <si>
    <t>Zoran</t>
  </si>
  <si>
    <t>Robert</t>
  </si>
  <si>
    <t>Bajec</t>
  </si>
  <si>
    <t>Oskar</t>
  </si>
  <si>
    <t>Ciril</t>
  </si>
  <si>
    <t>Tomšič</t>
  </si>
  <si>
    <t>Žiga</t>
  </si>
  <si>
    <t>Rok</t>
  </si>
  <si>
    <t>Drobnič</t>
  </si>
  <si>
    <t>Gorenc</t>
  </si>
  <si>
    <t>Primož</t>
  </si>
  <si>
    <t>Trontelj</t>
  </si>
  <si>
    <t>Tamara</t>
  </si>
  <si>
    <t>Pavlič</t>
  </si>
  <si>
    <t>Teja</t>
  </si>
  <si>
    <t>Plestenjak</t>
  </si>
  <si>
    <t>Rajko</t>
  </si>
  <si>
    <t>Bregar</t>
  </si>
  <si>
    <t>Lovro</t>
  </si>
  <si>
    <t>Krek</t>
  </si>
  <si>
    <t>Renata</t>
  </si>
  <si>
    <t>Petan</t>
  </si>
  <si>
    <t>Otilija</t>
  </si>
  <si>
    <t>Škrlj</t>
  </si>
  <si>
    <t>Cvetka</t>
  </si>
  <si>
    <t>Vladimir</t>
  </si>
  <si>
    <t>Novak</t>
  </si>
  <si>
    <t>Kraševec</t>
  </si>
  <si>
    <t>Albert</t>
  </si>
  <si>
    <t>Mravljak</t>
  </si>
  <si>
    <t>Ljubica</t>
  </si>
  <si>
    <t>Aljaž</t>
  </si>
  <si>
    <t>Jeram</t>
  </si>
  <si>
    <t>Goran</t>
  </si>
  <si>
    <t>Egon</t>
  </si>
  <si>
    <t>Benjamin</t>
  </si>
  <si>
    <t>Blažič</t>
  </si>
  <si>
    <t>Jože</t>
  </si>
  <si>
    <t>Ramšak</t>
  </si>
  <si>
    <t>Barbara</t>
  </si>
  <si>
    <t>Bojan</t>
  </si>
  <si>
    <t>Miran</t>
  </si>
  <si>
    <t>Kac</t>
  </si>
  <si>
    <t>Emil</t>
  </si>
  <si>
    <t>Silva</t>
  </si>
  <si>
    <t>APF</t>
  </si>
  <si>
    <t>Vilhar</t>
  </si>
  <si>
    <t>Karol</t>
  </si>
  <si>
    <t>Gomboc</t>
  </si>
  <si>
    <t>Rozalija</t>
  </si>
  <si>
    <t>Skupno</t>
  </si>
  <si>
    <t>Ocena</t>
  </si>
  <si>
    <t>Oznake vrstic</t>
  </si>
  <si>
    <t>Skupna vsota</t>
  </si>
  <si>
    <t>Oznake stolpcev</t>
  </si>
  <si>
    <t>Štetje od Skupno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</si>
</sst>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avadno" xfId="0" builtinId="0"/>
  </cellStyles>
  <dxfs count="7">
    <dxf>
      <numFmt numFmtId="0" formatCode="General"/>
    </dxf>
    <dxf>
      <font>
        <color rgb="FFFF000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19</xdr:row>
      <xdr:rowOff>155539</xdr:rowOff>
    </xdr:from>
    <xdr:to>
      <xdr:col>18</xdr:col>
      <xdr:colOff>433545</xdr:colOff>
      <xdr:row>39</xdr:row>
      <xdr:rowOff>99767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354A89B1-E907-C068-123A-D881F1A3E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1320" y="3630259"/>
          <a:ext cx="5653245" cy="360182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j Jamnik" refreshedDate="46049.850087037034" createdVersion="8" refreshedVersion="8" minRefreshableVersion="3" recordCount="134" xr:uid="{56104EED-C0C4-4E4E-86FF-879D8DECF3EC}">
  <cacheSource type="worksheet">
    <worksheetSource name="vhodni_podatki__1"/>
  </cacheSource>
  <cacheFields count="10">
    <cacheField name="Vpisna" numFmtId="0">
      <sharedItems containsSemiMixedTypes="0" containsString="0" containsNumber="1" containsInteger="1" minValue="27242007" maxValue="28242382"/>
    </cacheField>
    <cacheField name="Program" numFmtId="0">
      <sharedItems count="5">
        <s v="MAT"/>
        <s v="FIN"/>
        <s v="PED"/>
        <s v="APM"/>
        <s v="APF"/>
      </sharedItems>
    </cacheField>
    <cacheField name="Priimek" numFmtId="0">
      <sharedItems/>
    </cacheField>
    <cacheField name="Ime" numFmtId="0">
      <sharedItems count="128">
        <s v="Miran"/>
        <s v="Oskar"/>
        <s v="Jože"/>
        <s v="David"/>
        <s v="Lea"/>
        <s v="Herman"/>
        <s v="Katarina"/>
        <s v="Lovro"/>
        <s v="Pavla"/>
        <s v="Kristjan"/>
        <s v="Tadej"/>
        <s v="Ignac"/>
        <s v="Nina"/>
        <s v="Danica"/>
        <s v="Franci"/>
        <s v="Lidija"/>
        <s v="Matija"/>
        <s v="Klara"/>
        <s v="Klemen"/>
        <s v="Maja"/>
        <s v="Rozalija"/>
        <s v="Primož"/>
        <s v="Miha"/>
        <s v="Zoran"/>
        <s v="Bor"/>
        <s v="Žarko"/>
        <s v="Benjamin"/>
        <s v="Terezija"/>
        <s v="Jelka"/>
        <s v="Tatjana"/>
        <s v="Vid"/>
        <s v="Sebastjan"/>
        <s v="Erik"/>
        <s v="Nikolaj"/>
        <s v="Gabrijel"/>
        <s v="Goran"/>
        <s v="Robert"/>
        <s v="Tina"/>
        <s v="Jernej"/>
        <s v="Emil"/>
        <s v="Rafael"/>
        <s v="Vita"/>
        <s v="Hilda"/>
        <s v="Aljaž"/>
        <s v="Zdenka"/>
        <s v="Veronika"/>
        <s v="Denis"/>
        <s v="Alojz"/>
        <s v="Branko"/>
        <s v="Domen"/>
        <s v="Irena"/>
        <s v="Urška"/>
        <s v="Hedvika"/>
        <s v="Gizela"/>
        <s v="Jaka"/>
        <s v="Cene"/>
        <s v="Karmen"/>
        <s v="Vladimir"/>
        <s v="Izidor"/>
        <s v="Damjan"/>
        <s v="Grega"/>
        <s v="Elizabeta"/>
        <s v="Albert"/>
        <s v="Renata"/>
        <s v="Marjan"/>
        <s v="Natasa"/>
        <s v="Petra"/>
        <s v="Samo"/>
        <s v="Polona"/>
        <s v="Drago"/>
        <s v="Silvija"/>
        <s v="Urban"/>
        <s v="Gregor"/>
        <s v="Ana"/>
        <s v="Ivan"/>
        <s v="Fani"/>
        <s v="Špela"/>
        <s v="Erna"/>
        <s v="Gal"/>
        <s v="Zvonko"/>
        <s v="Niko"/>
        <s v="Ljubica"/>
        <s v="Olga"/>
        <s v="Rok"/>
        <s v="Silva"/>
        <s v="Pia"/>
        <s v="Sara"/>
        <s v="Teja"/>
        <s v="Brina"/>
        <s v="Alenka"/>
        <s v="Ciril"/>
        <s v="Otilija"/>
        <s v="Jasminka"/>
        <s v="Luka"/>
        <s v="Hugo"/>
        <s v="Neža"/>
        <s v="Rajko"/>
        <s v="Bojan"/>
        <s v="Filip"/>
        <s v="Barbara"/>
        <s v="Metka"/>
        <s v="Val"/>
        <s v="Jan"/>
        <s v="Nik"/>
        <s v="Francis"/>
        <s v="Helena"/>
        <s v="Uroš"/>
        <s v="Cvetka"/>
        <s v="Patrik"/>
        <s v="Živa"/>
        <s v="Vesna"/>
        <s v="Zala"/>
        <s v="Franc"/>
        <s v="Oto"/>
        <s v="Žiga"/>
        <s v="Tamara"/>
        <s v="Feliks"/>
        <s v="Iza"/>
        <s v="Blaž"/>
        <s v="Egon"/>
        <s v="Hana"/>
        <s v="Karol"/>
        <s v="Cecilija"/>
        <s v="Žan"/>
        <s v="Ema"/>
        <s v="Eva"/>
        <s v="Željka"/>
        <s v="Darja"/>
      </sharedItems>
    </cacheField>
    <cacheField name="HTML" numFmtId="0">
      <sharedItems containsSemiMixedTypes="0" containsString="0" containsNumber="1" containsInteger="1" minValue="0" maxValue="20" count="17">
        <n v="20"/>
        <n v="18"/>
        <n v="19"/>
        <n v="17"/>
        <n v="0"/>
        <n v="14"/>
        <n v="16"/>
        <n v="11"/>
        <n v="7"/>
        <n v="13"/>
        <n v="8"/>
        <n v="15"/>
        <n v="5"/>
        <n v="6"/>
        <n v="12"/>
        <n v="9"/>
        <n v="10"/>
      </sharedItems>
    </cacheField>
    <cacheField name="LaTeX" numFmtId="0">
      <sharedItems containsSemiMixedTypes="0" containsString="0" containsNumber="1" containsInteger="1" minValue="0" maxValue="37" count="34">
        <n v="36"/>
        <n v="34"/>
        <n v="14"/>
        <n v="35"/>
        <n v="0"/>
        <n v="9"/>
        <n v="31"/>
        <n v="30"/>
        <n v="17"/>
        <n v="27"/>
        <n v="37"/>
        <n v="24"/>
        <n v="20"/>
        <n v="18"/>
        <n v="32"/>
        <n v="26"/>
        <n v="29"/>
        <n v="28"/>
        <n v="16"/>
        <n v="22"/>
        <n v="33"/>
        <n v="23"/>
        <n v="3"/>
        <n v="19"/>
        <n v="12"/>
        <n v="11"/>
        <n v="25"/>
        <n v="8"/>
        <n v="21"/>
        <n v="15"/>
        <n v="13"/>
        <n v="6"/>
        <n v="10"/>
        <n v="7"/>
      </sharedItems>
    </cacheField>
    <cacheField name="Excel" numFmtId="0">
      <sharedItems containsSemiMixedTypes="0" containsString="0" containsNumber="1" containsInteger="1" minValue="0" maxValue="12" count="11">
        <n v="12"/>
        <n v="0"/>
        <n v="4"/>
        <n v="9"/>
        <n v="1"/>
        <n v="7"/>
        <n v="6"/>
        <n v="8"/>
        <n v="10"/>
        <n v="5"/>
        <n v="11"/>
      </sharedItems>
    </cacheField>
    <cacheField name="Mathematica" numFmtId="0">
      <sharedItems containsSemiMixedTypes="0" containsString="0" containsNumber="1" containsInteger="1" minValue="0" maxValue="32" count="22">
        <n v="32"/>
        <n v="27"/>
        <n v="16"/>
        <n v="26"/>
        <n v="0"/>
        <n v="30"/>
        <n v="29"/>
        <n v="6"/>
        <n v="28"/>
        <n v="18"/>
        <n v="21"/>
        <n v="24"/>
        <n v="25"/>
        <n v="15"/>
        <n v="31"/>
        <n v="22"/>
        <n v="13"/>
        <n v="19"/>
        <n v="23"/>
        <n v="12"/>
        <n v="17"/>
        <n v="20"/>
      </sharedItems>
    </cacheField>
    <cacheField name="Skupno" numFmtId="0">
      <sharedItems containsSemiMixedTypes="0" containsString="0" containsNumber="1" containsInteger="1" minValue="0" maxValue="100"/>
    </cacheField>
    <cacheField name="Ocena" numFmtId="0">
      <sharedItems containsSemiMixedTypes="0" containsString="0" containsNumber="1" containsInteger="1" minValue="5" maxValue="10" count="6">
        <n v="10"/>
        <n v="7"/>
        <n v="5"/>
        <n v="9"/>
        <n v="6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7242984"/>
    <x v="0"/>
    <s v="Bajec"/>
    <x v="0"/>
    <x v="0"/>
    <x v="0"/>
    <x v="0"/>
    <x v="0"/>
    <n v="100"/>
    <x v="0"/>
  </r>
  <r>
    <n v="27242820"/>
    <x v="1"/>
    <s v="Bajec"/>
    <x v="1"/>
    <x v="1"/>
    <x v="1"/>
    <x v="0"/>
    <x v="1"/>
    <n v="91"/>
    <x v="0"/>
  </r>
  <r>
    <n v="27242965"/>
    <x v="0"/>
    <s v="Blažič"/>
    <x v="2"/>
    <x v="2"/>
    <x v="2"/>
    <x v="0"/>
    <x v="2"/>
    <n v="61"/>
    <x v="1"/>
  </r>
  <r>
    <n v="27242701"/>
    <x v="1"/>
    <s v="Bohinc"/>
    <x v="3"/>
    <x v="3"/>
    <x v="3"/>
    <x v="0"/>
    <x v="3"/>
    <n v="90"/>
    <x v="0"/>
  </r>
  <r>
    <n v="27242370"/>
    <x v="0"/>
    <s v="Bohinc"/>
    <x v="4"/>
    <x v="4"/>
    <x v="4"/>
    <x v="1"/>
    <x v="4"/>
    <n v="0"/>
    <x v="2"/>
  </r>
  <r>
    <n v="27242440"/>
    <x v="0"/>
    <s v="Božič"/>
    <x v="5"/>
    <x v="4"/>
    <x v="5"/>
    <x v="2"/>
    <x v="5"/>
    <n v="43"/>
    <x v="2"/>
  </r>
  <r>
    <n v="27242091"/>
    <x v="0"/>
    <s v="Božič"/>
    <x v="6"/>
    <x v="5"/>
    <x v="1"/>
    <x v="0"/>
    <x v="6"/>
    <n v="89"/>
    <x v="3"/>
  </r>
  <r>
    <n v="27242906"/>
    <x v="0"/>
    <s v="Bregar"/>
    <x v="7"/>
    <x v="0"/>
    <x v="3"/>
    <x v="0"/>
    <x v="0"/>
    <n v="99"/>
    <x v="0"/>
  </r>
  <r>
    <n v="27242250"/>
    <x v="1"/>
    <s v="Brezovar"/>
    <x v="8"/>
    <x v="6"/>
    <x v="6"/>
    <x v="0"/>
    <x v="1"/>
    <n v="86"/>
    <x v="3"/>
  </r>
  <r>
    <n v="27242189"/>
    <x v="0"/>
    <s v="Brumen"/>
    <x v="9"/>
    <x v="1"/>
    <x v="7"/>
    <x v="0"/>
    <x v="5"/>
    <n v="90"/>
    <x v="0"/>
  </r>
  <r>
    <n v="27242372"/>
    <x v="0"/>
    <s v="Čepon"/>
    <x v="10"/>
    <x v="7"/>
    <x v="8"/>
    <x v="1"/>
    <x v="7"/>
    <n v="34"/>
    <x v="2"/>
  </r>
  <r>
    <n v="27242410"/>
    <x v="2"/>
    <s v="Cerar"/>
    <x v="11"/>
    <x v="6"/>
    <x v="9"/>
    <x v="3"/>
    <x v="8"/>
    <n v="80"/>
    <x v="3"/>
  </r>
  <r>
    <n v="27242208"/>
    <x v="1"/>
    <s v="Černe"/>
    <x v="12"/>
    <x v="3"/>
    <x v="1"/>
    <x v="0"/>
    <x v="8"/>
    <n v="91"/>
    <x v="0"/>
  </r>
  <r>
    <n v="27242642"/>
    <x v="0"/>
    <s v="Dolinar"/>
    <x v="13"/>
    <x v="2"/>
    <x v="10"/>
    <x v="0"/>
    <x v="0"/>
    <n v="100"/>
    <x v="0"/>
  </r>
  <r>
    <n v="27242369"/>
    <x v="0"/>
    <s v="Dolinar"/>
    <x v="14"/>
    <x v="0"/>
    <x v="11"/>
    <x v="1"/>
    <x v="9"/>
    <n v="62"/>
    <x v="1"/>
  </r>
  <r>
    <n v="27242843"/>
    <x v="0"/>
    <s v="Drobnič"/>
    <x v="15"/>
    <x v="8"/>
    <x v="12"/>
    <x v="0"/>
    <x v="10"/>
    <n v="60"/>
    <x v="1"/>
  </r>
  <r>
    <n v="27242393"/>
    <x v="0"/>
    <s v="Fatur"/>
    <x v="16"/>
    <x v="9"/>
    <x v="13"/>
    <x v="1"/>
    <x v="8"/>
    <n v="59"/>
    <x v="4"/>
  </r>
  <r>
    <n v="27242249"/>
    <x v="2"/>
    <s v="Fink"/>
    <x v="17"/>
    <x v="5"/>
    <x v="14"/>
    <x v="0"/>
    <x v="6"/>
    <n v="87"/>
    <x v="3"/>
  </r>
  <r>
    <n v="27242595"/>
    <x v="2"/>
    <s v="Golob"/>
    <x v="18"/>
    <x v="10"/>
    <x v="15"/>
    <x v="4"/>
    <x v="4"/>
    <n v="35"/>
    <x v="2"/>
  </r>
  <r>
    <n v="27242340"/>
    <x v="3"/>
    <s v="Golob"/>
    <x v="19"/>
    <x v="0"/>
    <x v="8"/>
    <x v="1"/>
    <x v="1"/>
    <n v="64"/>
    <x v="1"/>
  </r>
  <r>
    <n v="28242382"/>
    <x v="4"/>
    <s v="Gomboc"/>
    <x v="20"/>
    <x v="4"/>
    <x v="4"/>
    <x v="1"/>
    <x v="4"/>
    <n v="0"/>
    <x v="2"/>
  </r>
  <r>
    <n v="27242865"/>
    <x v="0"/>
    <s v="Gorenc"/>
    <x v="21"/>
    <x v="2"/>
    <x v="6"/>
    <x v="0"/>
    <x v="0"/>
    <n v="94"/>
    <x v="0"/>
  </r>
  <r>
    <n v="27242476"/>
    <x v="1"/>
    <s v="Gradišar"/>
    <x v="22"/>
    <x v="4"/>
    <x v="4"/>
    <x v="1"/>
    <x v="4"/>
    <n v="0"/>
    <x v="2"/>
  </r>
  <r>
    <n v="27242789"/>
    <x v="0"/>
    <s v="Gregorčič"/>
    <x v="23"/>
    <x v="6"/>
    <x v="6"/>
    <x v="5"/>
    <x v="5"/>
    <n v="84"/>
    <x v="3"/>
  </r>
  <r>
    <n v="27242636"/>
    <x v="1"/>
    <s v="Gros"/>
    <x v="24"/>
    <x v="3"/>
    <x v="16"/>
    <x v="0"/>
    <x v="11"/>
    <n v="82"/>
    <x v="3"/>
  </r>
  <r>
    <n v="27242158"/>
    <x v="0"/>
    <s v="Gros"/>
    <x v="25"/>
    <x v="2"/>
    <x v="17"/>
    <x v="0"/>
    <x v="3"/>
    <n v="85"/>
    <x v="3"/>
  </r>
  <r>
    <n v="28242160"/>
    <x v="4"/>
    <s v="Horvat"/>
    <x v="26"/>
    <x v="1"/>
    <x v="18"/>
    <x v="0"/>
    <x v="4"/>
    <n v="46"/>
    <x v="2"/>
  </r>
  <r>
    <n v="27242016"/>
    <x v="1"/>
    <s v="Horvat"/>
    <x v="27"/>
    <x v="11"/>
    <x v="4"/>
    <x v="0"/>
    <x v="11"/>
    <n v="51"/>
    <x v="4"/>
  </r>
  <r>
    <n v="27242358"/>
    <x v="0"/>
    <s v="Hren"/>
    <x v="28"/>
    <x v="7"/>
    <x v="19"/>
    <x v="4"/>
    <x v="12"/>
    <n v="59"/>
    <x v="4"/>
  </r>
  <r>
    <n v="27242100"/>
    <x v="1"/>
    <s v="Hribar"/>
    <x v="29"/>
    <x v="12"/>
    <x v="20"/>
    <x v="0"/>
    <x v="13"/>
    <n v="65"/>
    <x v="1"/>
  </r>
  <r>
    <n v="27242293"/>
    <x v="0"/>
    <s v="Hribar"/>
    <x v="30"/>
    <x v="1"/>
    <x v="3"/>
    <x v="0"/>
    <x v="0"/>
    <n v="97"/>
    <x v="0"/>
  </r>
  <r>
    <n v="27242599"/>
    <x v="0"/>
    <s v="Hrovat"/>
    <x v="31"/>
    <x v="1"/>
    <x v="21"/>
    <x v="5"/>
    <x v="14"/>
    <n v="79"/>
    <x v="5"/>
  </r>
  <r>
    <n v="27242658"/>
    <x v="0"/>
    <s v="Jelen"/>
    <x v="32"/>
    <x v="3"/>
    <x v="0"/>
    <x v="0"/>
    <x v="5"/>
    <n v="95"/>
    <x v="0"/>
  </r>
  <r>
    <n v="27242690"/>
    <x v="1"/>
    <s v="Jelenko"/>
    <x v="33"/>
    <x v="4"/>
    <x v="4"/>
    <x v="1"/>
    <x v="4"/>
    <n v="0"/>
    <x v="2"/>
  </r>
  <r>
    <n v="27242384"/>
    <x v="3"/>
    <s v="Jenko"/>
    <x v="34"/>
    <x v="2"/>
    <x v="4"/>
    <x v="0"/>
    <x v="15"/>
    <n v="53"/>
    <x v="4"/>
  </r>
  <r>
    <n v="27242957"/>
    <x v="1"/>
    <s v="Jeram"/>
    <x v="35"/>
    <x v="1"/>
    <x v="3"/>
    <x v="0"/>
    <x v="3"/>
    <n v="91"/>
    <x v="0"/>
  </r>
  <r>
    <n v="27242797"/>
    <x v="1"/>
    <s v="Jereb"/>
    <x v="36"/>
    <x v="2"/>
    <x v="1"/>
    <x v="0"/>
    <x v="13"/>
    <n v="80"/>
    <x v="3"/>
  </r>
  <r>
    <n v="27242025"/>
    <x v="0"/>
    <s v="Jereb"/>
    <x v="37"/>
    <x v="2"/>
    <x v="12"/>
    <x v="1"/>
    <x v="10"/>
    <n v="60"/>
    <x v="1"/>
  </r>
  <r>
    <n v="27242462"/>
    <x v="0"/>
    <s v="Jernejc"/>
    <x v="38"/>
    <x v="1"/>
    <x v="20"/>
    <x v="0"/>
    <x v="0"/>
    <n v="95"/>
    <x v="0"/>
  </r>
  <r>
    <n v="27242990"/>
    <x v="1"/>
    <s v="Kac"/>
    <x v="39"/>
    <x v="3"/>
    <x v="0"/>
    <x v="0"/>
    <x v="5"/>
    <n v="95"/>
    <x v="0"/>
  </r>
  <r>
    <n v="27242007"/>
    <x v="0"/>
    <s v="Kastelic"/>
    <x v="40"/>
    <x v="10"/>
    <x v="22"/>
    <x v="1"/>
    <x v="4"/>
    <n v="11"/>
    <x v="2"/>
  </r>
  <r>
    <n v="27242572"/>
    <x v="0"/>
    <s v="Kavčič"/>
    <x v="41"/>
    <x v="6"/>
    <x v="5"/>
    <x v="1"/>
    <x v="16"/>
    <n v="38"/>
    <x v="2"/>
  </r>
  <r>
    <n v="27242686"/>
    <x v="1"/>
    <s v="Kebe"/>
    <x v="42"/>
    <x v="11"/>
    <x v="23"/>
    <x v="0"/>
    <x v="3"/>
    <n v="72"/>
    <x v="5"/>
  </r>
  <r>
    <n v="27242949"/>
    <x v="2"/>
    <s v="Klemenčič"/>
    <x v="43"/>
    <x v="13"/>
    <x v="24"/>
    <x v="6"/>
    <x v="4"/>
    <n v="24"/>
    <x v="2"/>
  </r>
  <r>
    <n v="27242092"/>
    <x v="1"/>
    <s v="Klemenčič"/>
    <x v="44"/>
    <x v="1"/>
    <x v="21"/>
    <x v="1"/>
    <x v="17"/>
    <n v="60"/>
    <x v="1"/>
  </r>
  <r>
    <n v="27242256"/>
    <x v="1"/>
    <s v="Klešnik"/>
    <x v="45"/>
    <x v="2"/>
    <x v="0"/>
    <x v="0"/>
    <x v="8"/>
    <n v="95"/>
    <x v="0"/>
  </r>
  <r>
    <n v="27242607"/>
    <x v="1"/>
    <s v="Klopčič"/>
    <x v="46"/>
    <x v="2"/>
    <x v="20"/>
    <x v="7"/>
    <x v="18"/>
    <n v="83"/>
    <x v="3"/>
  </r>
  <r>
    <n v="27242392"/>
    <x v="0"/>
    <s v="Kočevar"/>
    <x v="47"/>
    <x v="2"/>
    <x v="0"/>
    <x v="0"/>
    <x v="0"/>
    <n v="99"/>
    <x v="0"/>
  </r>
  <r>
    <n v="27242070"/>
    <x v="3"/>
    <s v="Kocjan"/>
    <x v="48"/>
    <x v="2"/>
    <x v="20"/>
    <x v="0"/>
    <x v="8"/>
    <n v="92"/>
    <x v="0"/>
  </r>
  <r>
    <n v="27242197"/>
    <x v="0"/>
    <s v="Kocjan"/>
    <x v="49"/>
    <x v="1"/>
    <x v="0"/>
    <x v="0"/>
    <x v="14"/>
    <n v="97"/>
    <x v="0"/>
  </r>
  <r>
    <n v="27242489"/>
    <x v="0"/>
    <s v="Kolman"/>
    <x v="50"/>
    <x v="0"/>
    <x v="3"/>
    <x v="0"/>
    <x v="3"/>
    <n v="93"/>
    <x v="0"/>
  </r>
  <r>
    <n v="27242404"/>
    <x v="1"/>
    <s v="Korbar"/>
    <x v="51"/>
    <x v="1"/>
    <x v="25"/>
    <x v="0"/>
    <x v="6"/>
    <n v="70"/>
    <x v="5"/>
  </r>
  <r>
    <n v="27242030"/>
    <x v="1"/>
    <s v="Koren"/>
    <x v="52"/>
    <x v="5"/>
    <x v="26"/>
    <x v="0"/>
    <x v="8"/>
    <n v="79"/>
    <x v="5"/>
  </r>
  <r>
    <n v="27242408"/>
    <x v="1"/>
    <s v="Kos"/>
    <x v="53"/>
    <x v="6"/>
    <x v="27"/>
    <x v="7"/>
    <x v="10"/>
    <n v="53"/>
    <x v="4"/>
  </r>
  <r>
    <n v="27242323"/>
    <x v="3"/>
    <s v="Kos"/>
    <x v="54"/>
    <x v="4"/>
    <x v="4"/>
    <x v="1"/>
    <x v="4"/>
    <n v="0"/>
    <x v="2"/>
  </r>
  <r>
    <n v="27242924"/>
    <x v="1"/>
    <s v="Kotnik"/>
    <x v="55"/>
    <x v="3"/>
    <x v="28"/>
    <x v="0"/>
    <x v="12"/>
    <n v="75"/>
    <x v="5"/>
  </r>
  <r>
    <n v="27242585"/>
    <x v="1"/>
    <s v="Kotnik"/>
    <x v="56"/>
    <x v="1"/>
    <x v="0"/>
    <x v="0"/>
    <x v="6"/>
    <n v="95"/>
    <x v="0"/>
  </r>
  <r>
    <n v="27242377"/>
    <x v="0"/>
    <s v="Kovačič"/>
    <x v="55"/>
    <x v="4"/>
    <x v="4"/>
    <x v="1"/>
    <x v="4"/>
    <n v="0"/>
    <x v="2"/>
  </r>
  <r>
    <n v="27242921"/>
    <x v="1"/>
    <s v="Kovačič"/>
    <x v="57"/>
    <x v="3"/>
    <x v="1"/>
    <x v="0"/>
    <x v="6"/>
    <n v="92"/>
    <x v="0"/>
  </r>
  <r>
    <n v="27242304"/>
    <x v="2"/>
    <s v="Kovšca"/>
    <x v="58"/>
    <x v="3"/>
    <x v="14"/>
    <x v="0"/>
    <x v="12"/>
    <n v="86"/>
    <x v="3"/>
  </r>
  <r>
    <n v="27242598"/>
    <x v="1"/>
    <s v="Kralj"/>
    <x v="59"/>
    <x v="7"/>
    <x v="26"/>
    <x v="8"/>
    <x v="3"/>
    <n v="72"/>
    <x v="5"/>
  </r>
  <r>
    <n v="27242560"/>
    <x v="0"/>
    <s v="Kralj"/>
    <x v="60"/>
    <x v="2"/>
    <x v="21"/>
    <x v="1"/>
    <x v="18"/>
    <n v="65"/>
    <x v="1"/>
  </r>
  <r>
    <n v="27242702"/>
    <x v="1"/>
    <s v="Krapež"/>
    <x v="61"/>
    <x v="1"/>
    <x v="0"/>
    <x v="0"/>
    <x v="0"/>
    <n v="98"/>
    <x v="0"/>
  </r>
  <r>
    <n v="27242926"/>
    <x v="0"/>
    <s v="Kraševec"/>
    <x v="62"/>
    <x v="14"/>
    <x v="29"/>
    <x v="0"/>
    <x v="1"/>
    <n v="66"/>
    <x v="1"/>
  </r>
  <r>
    <n v="27242910"/>
    <x v="0"/>
    <s v="Krek"/>
    <x v="63"/>
    <x v="2"/>
    <x v="7"/>
    <x v="0"/>
    <x v="12"/>
    <n v="86"/>
    <x v="3"/>
  </r>
  <r>
    <n v="27242019"/>
    <x v="3"/>
    <s v="Krmelj"/>
    <x v="64"/>
    <x v="0"/>
    <x v="0"/>
    <x v="0"/>
    <x v="14"/>
    <n v="99"/>
    <x v="0"/>
  </r>
  <r>
    <n v="27242759"/>
    <x v="1"/>
    <s v="Lebe"/>
    <x v="65"/>
    <x v="2"/>
    <x v="9"/>
    <x v="0"/>
    <x v="19"/>
    <n v="70"/>
    <x v="5"/>
  </r>
  <r>
    <n v="27242748"/>
    <x v="0"/>
    <s v="Lebe"/>
    <x v="66"/>
    <x v="4"/>
    <x v="4"/>
    <x v="1"/>
    <x v="4"/>
    <n v="0"/>
    <x v="2"/>
  </r>
  <r>
    <n v="27242132"/>
    <x v="1"/>
    <s v="Lesjak"/>
    <x v="67"/>
    <x v="1"/>
    <x v="11"/>
    <x v="0"/>
    <x v="20"/>
    <n v="71"/>
    <x v="5"/>
  </r>
  <r>
    <n v="27242503"/>
    <x v="1"/>
    <s v="Lovšin"/>
    <x v="68"/>
    <x v="1"/>
    <x v="24"/>
    <x v="5"/>
    <x v="18"/>
    <n v="60"/>
    <x v="1"/>
  </r>
  <r>
    <n v="27242508"/>
    <x v="2"/>
    <s v="Lužar"/>
    <x v="69"/>
    <x v="2"/>
    <x v="7"/>
    <x v="0"/>
    <x v="13"/>
    <n v="76"/>
    <x v="5"/>
  </r>
  <r>
    <n v="27242773"/>
    <x v="3"/>
    <s v="Mahnič"/>
    <x v="70"/>
    <x v="4"/>
    <x v="4"/>
    <x v="1"/>
    <x v="12"/>
    <n v="25"/>
    <x v="2"/>
  </r>
  <r>
    <n v="27242284"/>
    <x v="1"/>
    <s v="Mahnič"/>
    <x v="71"/>
    <x v="5"/>
    <x v="30"/>
    <x v="3"/>
    <x v="13"/>
    <n v="51"/>
    <x v="4"/>
  </r>
  <r>
    <n v="27242223"/>
    <x v="0"/>
    <s v="Marinšek"/>
    <x v="72"/>
    <x v="0"/>
    <x v="0"/>
    <x v="0"/>
    <x v="5"/>
    <n v="98"/>
    <x v="0"/>
  </r>
  <r>
    <n v="27242744"/>
    <x v="1"/>
    <s v="Medved"/>
    <x v="73"/>
    <x v="1"/>
    <x v="0"/>
    <x v="0"/>
    <x v="8"/>
    <n v="94"/>
    <x v="0"/>
  </r>
  <r>
    <n v="27242447"/>
    <x v="0"/>
    <s v="Medved"/>
    <x v="74"/>
    <x v="1"/>
    <x v="7"/>
    <x v="0"/>
    <x v="0"/>
    <n v="92"/>
    <x v="0"/>
  </r>
  <r>
    <n v="27242409"/>
    <x v="1"/>
    <s v="Meglič"/>
    <x v="75"/>
    <x v="6"/>
    <x v="31"/>
    <x v="8"/>
    <x v="15"/>
    <n v="54"/>
    <x v="4"/>
  </r>
  <r>
    <n v="27242119"/>
    <x v="1"/>
    <s v="Miklavčič"/>
    <x v="76"/>
    <x v="3"/>
    <x v="7"/>
    <x v="3"/>
    <x v="21"/>
    <n v="76"/>
    <x v="5"/>
  </r>
  <r>
    <n v="27242221"/>
    <x v="0"/>
    <s v="Miklič"/>
    <x v="77"/>
    <x v="1"/>
    <x v="14"/>
    <x v="0"/>
    <x v="0"/>
    <n v="94"/>
    <x v="0"/>
  </r>
  <r>
    <n v="27242191"/>
    <x v="1"/>
    <s v="Miklič"/>
    <x v="78"/>
    <x v="4"/>
    <x v="4"/>
    <x v="1"/>
    <x v="11"/>
    <n v="24"/>
    <x v="2"/>
  </r>
  <r>
    <n v="28242075"/>
    <x v="4"/>
    <s v="Mlakar"/>
    <x v="3"/>
    <x v="11"/>
    <x v="4"/>
    <x v="0"/>
    <x v="16"/>
    <n v="40"/>
    <x v="2"/>
  </r>
  <r>
    <n v="27242039"/>
    <x v="0"/>
    <s v="Mlakar"/>
    <x v="79"/>
    <x v="1"/>
    <x v="14"/>
    <x v="0"/>
    <x v="8"/>
    <n v="90"/>
    <x v="0"/>
  </r>
  <r>
    <n v="27242313"/>
    <x v="2"/>
    <s v="Modic"/>
    <x v="80"/>
    <x v="3"/>
    <x v="16"/>
    <x v="0"/>
    <x v="15"/>
    <n v="80"/>
    <x v="3"/>
  </r>
  <r>
    <n v="27242932"/>
    <x v="1"/>
    <s v="Mravljak"/>
    <x v="81"/>
    <x v="11"/>
    <x v="9"/>
    <x v="1"/>
    <x v="5"/>
    <n v="72"/>
    <x v="5"/>
  </r>
  <r>
    <n v="27242566"/>
    <x v="1"/>
    <s v="Murn"/>
    <x v="82"/>
    <x v="0"/>
    <x v="6"/>
    <x v="0"/>
    <x v="5"/>
    <n v="93"/>
    <x v="0"/>
  </r>
  <r>
    <n v="27242830"/>
    <x v="1"/>
    <s v="Murn"/>
    <x v="83"/>
    <x v="11"/>
    <x v="6"/>
    <x v="3"/>
    <x v="1"/>
    <n v="82"/>
    <x v="3"/>
  </r>
  <r>
    <n v="27242922"/>
    <x v="1"/>
    <s v="Novak"/>
    <x v="73"/>
    <x v="9"/>
    <x v="9"/>
    <x v="0"/>
    <x v="12"/>
    <n v="77"/>
    <x v="5"/>
  </r>
  <r>
    <n v="27242995"/>
    <x v="1"/>
    <s v="Novak"/>
    <x v="84"/>
    <x v="2"/>
    <x v="23"/>
    <x v="5"/>
    <x v="21"/>
    <n v="65"/>
    <x v="1"/>
  </r>
  <r>
    <n v="27242534"/>
    <x v="0"/>
    <s v="Oblak"/>
    <x v="85"/>
    <x v="0"/>
    <x v="0"/>
    <x v="0"/>
    <x v="0"/>
    <n v="100"/>
    <x v="0"/>
  </r>
  <r>
    <n v="27242594"/>
    <x v="1"/>
    <s v="Oblak"/>
    <x v="86"/>
    <x v="5"/>
    <x v="19"/>
    <x v="0"/>
    <x v="1"/>
    <n v="75"/>
    <x v="5"/>
  </r>
  <r>
    <n v="27242887"/>
    <x v="1"/>
    <s v="Pavlič"/>
    <x v="87"/>
    <x v="2"/>
    <x v="20"/>
    <x v="0"/>
    <x v="3"/>
    <n v="90"/>
    <x v="0"/>
  </r>
  <r>
    <n v="27242255"/>
    <x v="1"/>
    <s v="Pavlin"/>
    <x v="88"/>
    <x v="4"/>
    <x v="4"/>
    <x v="1"/>
    <x v="4"/>
    <n v="0"/>
    <x v="2"/>
  </r>
  <r>
    <n v="27242683"/>
    <x v="0"/>
    <s v="Pečar"/>
    <x v="89"/>
    <x v="0"/>
    <x v="0"/>
    <x v="0"/>
    <x v="0"/>
    <n v="100"/>
    <x v="0"/>
  </r>
  <r>
    <n v="27242826"/>
    <x v="1"/>
    <s v="Pečar"/>
    <x v="90"/>
    <x v="15"/>
    <x v="13"/>
    <x v="7"/>
    <x v="10"/>
    <n v="56"/>
    <x v="4"/>
  </r>
  <r>
    <n v="27242915"/>
    <x v="1"/>
    <s v="Petan"/>
    <x v="91"/>
    <x v="1"/>
    <x v="7"/>
    <x v="0"/>
    <x v="18"/>
    <n v="83"/>
    <x v="3"/>
  </r>
  <r>
    <n v="27242156"/>
    <x v="1"/>
    <s v="Petrović"/>
    <x v="92"/>
    <x v="1"/>
    <x v="14"/>
    <x v="0"/>
    <x v="6"/>
    <n v="91"/>
    <x v="0"/>
  </r>
  <r>
    <n v="27242038"/>
    <x v="1"/>
    <s v="Petrović"/>
    <x v="93"/>
    <x v="6"/>
    <x v="32"/>
    <x v="1"/>
    <x v="3"/>
    <n v="52"/>
    <x v="4"/>
  </r>
  <r>
    <n v="27242763"/>
    <x v="1"/>
    <s v="Pintar"/>
    <x v="94"/>
    <x v="2"/>
    <x v="1"/>
    <x v="0"/>
    <x v="6"/>
    <n v="94"/>
    <x v="0"/>
  </r>
  <r>
    <n v="27242145"/>
    <x v="0"/>
    <s v="Pirc"/>
    <x v="95"/>
    <x v="2"/>
    <x v="0"/>
    <x v="0"/>
    <x v="0"/>
    <n v="99"/>
    <x v="0"/>
  </r>
  <r>
    <n v="27242896"/>
    <x v="0"/>
    <s v="Plestenjak"/>
    <x v="96"/>
    <x v="1"/>
    <x v="3"/>
    <x v="0"/>
    <x v="5"/>
    <n v="95"/>
    <x v="0"/>
  </r>
  <r>
    <n v="27242982"/>
    <x v="1"/>
    <s v="Potočnik"/>
    <x v="97"/>
    <x v="1"/>
    <x v="1"/>
    <x v="0"/>
    <x v="5"/>
    <n v="94"/>
    <x v="0"/>
  </r>
  <r>
    <n v="27242295"/>
    <x v="3"/>
    <s v="Potočnik"/>
    <x v="98"/>
    <x v="1"/>
    <x v="26"/>
    <x v="0"/>
    <x v="14"/>
    <n v="86"/>
    <x v="3"/>
  </r>
  <r>
    <n v="27242977"/>
    <x v="1"/>
    <s v="Ramšak"/>
    <x v="99"/>
    <x v="2"/>
    <x v="7"/>
    <x v="0"/>
    <x v="11"/>
    <n v="85"/>
    <x v="3"/>
  </r>
  <r>
    <n v="27242644"/>
    <x v="0"/>
    <s v="Resnik"/>
    <x v="100"/>
    <x v="4"/>
    <x v="4"/>
    <x v="1"/>
    <x v="12"/>
    <n v="25"/>
    <x v="2"/>
  </r>
  <r>
    <n v="27242548"/>
    <x v="1"/>
    <s v="Rotar"/>
    <x v="101"/>
    <x v="2"/>
    <x v="1"/>
    <x v="0"/>
    <x v="3"/>
    <n v="91"/>
    <x v="0"/>
  </r>
  <r>
    <n v="27242960"/>
    <x v="1"/>
    <s v="Rozman"/>
    <x v="26"/>
    <x v="6"/>
    <x v="16"/>
    <x v="0"/>
    <x v="20"/>
    <n v="74"/>
    <x v="5"/>
  </r>
  <r>
    <n v="27242178"/>
    <x v="0"/>
    <s v="Rozman"/>
    <x v="102"/>
    <x v="1"/>
    <x v="0"/>
    <x v="0"/>
    <x v="0"/>
    <n v="98"/>
    <x v="0"/>
  </r>
  <r>
    <n v="27242438"/>
    <x v="0"/>
    <s v="Rupnik"/>
    <x v="15"/>
    <x v="9"/>
    <x v="19"/>
    <x v="9"/>
    <x v="5"/>
    <n v="70"/>
    <x v="5"/>
  </r>
  <r>
    <n v="27242298"/>
    <x v="0"/>
    <s v="Rupnik"/>
    <x v="103"/>
    <x v="0"/>
    <x v="0"/>
    <x v="0"/>
    <x v="5"/>
    <n v="98"/>
    <x v="0"/>
  </r>
  <r>
    <n v="27242737"/>
    <x v="0"/>
    <s v="Sever"/>
    <x v="104"/>
    <x v="16"/>
    <x v="8"/>
    <x v="1"/>
    <x v="9"/>
    <n v="45"/>
    <x v="2"/>
  </r>
  <r>
    <n v="27242169"/>
    <x v="1"/>
    <s v="Sever"/>
    <x v="105"/>
    <x v="4"/>
    <x v="4"/>
    <x v="1"/>
    <x v="4"/>
    <n v="0"/>
    <x v="2"/>
  </r>
  <r>
    <n v="27242089"/>
    <x v="1"/>
    <s v="Šinkovec"/>
    <x v="106"/>
    <x v="4"/>
    <x v="20"/>
    <x v="1"/>
    <x v="6"/>
    <n v="62"/>
    <x v="1"/>
  </r>
  <r>
    <n v="27242919"/>
    <x v="0"/>
    <s v="Škrlj"/>
    <x v="107"/>
    <x v="1"/>
    <x v="6"/>
    <x v="10"/>
    <x v="1"/>
    <n v="87"/>
    <x v="3"/>
  </r>
  <r>
    <n v="27242621"/>
    <x v="0"/>
    <s v="Slapar"/>
    <x v="108"/>
    <x v="4"/>
    <x v="22"/>
    <x v="1"/>
    <x v="4"/>
    <n v="3"/>
    <x v="2"/>
  </r>
  <r>
    <n v="27242474"/>
    <x v="1"/>
    <s v="Slivnik"/>
    <x v="109"/>
    <x v="16"/>
    <x v="6"/>
    <x v="0"/>
    <x v="1"/>
    <n v="80"/>
    <x v="3"/>
  </r>
  <r>
    <n v="27242512"/>
    <x v="0"/>
    <s v="Štrukelj"/>
    <x v="110"/>
    <x v="0"/>
    <x v="14"/>
    <x v="7"/>
    <x v="11"/>
    <n v="84"/>
    <x v="3"/>
  </r>
  <r>
    <n v="27242361"/>
    <x v="1"/>
    <s v="Štrukelj"/>
    <x v="111"/>
    <x v="4"/>
    <x v="4"/>
    <x v="1"/>
    <x v="4"/>
    <n v="0"/>
    <x v="2"/>
  </r>
  <r>
    <n v="27242498"/>
    <x v="0"/>
    <s v="Tavčar"/>
    <x v="112"/>
    <x v="16"/>
    <x v="29"/>
    <x v="3"/>
    <x v="6"/>
    <n v="63"/>
    <x v="1"/>
  </r>
  <r>
    <n v="27242590"/>
    <x v="1"/>
    <s v="Tomažič"/>
    <x v="113"/>
    <x v="4"/>
    <x v="30"/>
    <x v="1"/>
    <x v="18"/>
    <n v="36"/>
    <x v="2"/>
  </r>
  <r>
    <n v="27242829"/>
    <x v="1"/>
    <s v="Tomšič"/>
    <x v="114"/>
    <x v="6"/>
    <x v="20"/>
    <x v="0"/>
    <x v="8"/>
    <n v="89"/>
    <x v="3"/>
  </r>
  <r>
    <n v="27242869"/>
    <x v="1"/>
    <s v="Trontelj"/>
    <x v="115"/>
    <x v="2"/>
    <x v="11"/>
    <x v="0"/>
    <x v="6"/>
    <n v="84"/>
    <x v="3"/>
  </r>
  <r>
    <n v="27242312"/>
    <x v="2"/>
    <s v="Turk"/>
    <x v="116"/>
    <x v="2"/>
    <x v="11"/>
    <x v="0"/>
    <x v="13"/>
    <n v="70"/>
    <x v="5"/>
  </r>
  <r>
    <n v="27242717"/>
    <x v="1"/>
    <s v="Turk"/>
    <x v="117"/>
    <x v="3"/>
    <x v="23"/>
    <x v="0"/>
    <x v="8"/>
    <n v="76"/>
    <x v="5"/>
  </r>
  <r>
    <n v="27242108"/>
    <x v="0"/>
    <s v="Verbič"/>
    <x v="118"/>
    <x v="3"/>
    <x v="3"/>
    <x v="0"/>
    <x v="0"/>
    <n v="96"/>
    <x v="0"/>
  </r>
  <r>
    <n v="27242958"/>
    <x v="2"/>
    <s v="Vidmar"/>
    <x v="119"/>
    <x v="4"/>
    <x v="5"/>
    <x v="3"/>
    <x v="20"/>
    <n v="35"/>
    <x v="2"/>
  </r>
  <r>
    <n v="27242174"/>
    <x v="0"/>
    <s v="Vidmar"/>
    <x v="120"/>
    <x v="0"/>
    <x v="3"/>
    <x v="0"/>
    <x v="6"/>
    <n v="96"/>
    <x v="0"/>
  </r>
  <r>
    <n v="28242114"/>
    <x v="4"/>
    <s v="Vilhar"/>
    <x v="121"/>
    <x v="4"/>
    <x v="4"/>
    <x v="1"/>
    <x v="4"/>
    <n v="0"/>
    <x v="2"/>
  </r>
  <r>
    <n v="27242102"/>
    <x v="0"/>
    <s v="Vovk"/>
    <x v="122"/>
    <x v="0"/>
    <x v="0"/>
    <x v="0"/>
    <x v="1"/>
    <n v="95"/>
    <x v="0"/>
  </r>
  <r>
    <n v="27242677"/>
    <x v="3"/>
    <s v="Žagar"/>
    <x v="123"/>
    <x v="0"/>
    <x v="20"/>
    <x v="0"/>
    <x v="5"/>
    <n v="95"/>
    <x v="0"/>
  </r>
  <r>
    <n v="27242539"/>
    <x v="0"/>
    <s v="Zajc"/>
    <x v="55"/>
    <x v="4"/>
    <x v="33"/>
    <x v="1"/>
    <x v="2"/>
    <n v="23"/>
    <x v="2"/>
  </r>
  <r>
    <n v="27242732"/>
    <x v="0"/>
    <s v="Zajc"/>
    <x v="124"/>
    <x v="2"/>
    <x v="14"/>
    <x v="3"/>
    <x v="17"/>
    <n v="79"/>
    <x v="5"/>
  </r>
  <r>
    <n v="27242153"/>
    <x v="0"/>
    <s v="Zupan"/>
    <x v="125"/>
    <x v="11"/>
    <x v="0"/>
    <x v="0"/>
    <x v="0"/>
    <n v="95"/>
    <x v="0"/>
  </r>
  <r>
    <n v="27242013"/>
    <x v="1"/>
    <s v="Zupan"/>
    <x v="126"/>
    <x v="1"/>
    <x v="8"/>
    <x v="0"/>
    <x v="18"/>
    <n v="70"/>
    <x v="5"/>
  </r>
  <r>
    <n v="27242695"/>
    <x v="2"/>
    <s v="Zupanc"/>
    <x v="127"/>
    <x v="0"/>
    <x v="0"/>
    <x v="0"/>
    <x v="14"/>
    <n v="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3BEE6-2989-40E3-9AA0-696D4BFCE67A}" name="Vrtilna tabela1" cacheId="9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K11:Q19" firstHeaderRow="1" firstDataRow="2" firstDataCol="1"/>
  <pivotFields count="10">
    <pivotField showAll="0"/>
    <pivotField axis="axisCol" showAll="0">
      <items count="6">
        <item x="4"/>
        <item x="3"/>
        <item x="1"/>
        <item x="0"/>
        <item x="2"/>
        <item t="default"/>
      </items>
    </pivotField>
    <pivotField showAll="0"/>
    <pivotField showAll="0">
      <items count="129">
        <item x="102"/>
        <item x="62"/>
        <item x="89"/>
        <item x="43"/>
        <item x="47"/>
        <item x="73"/>
        <item x="99"/>
        <item x="26"/>
        <item x="118"/>
        <item x="97"/>
        <item x="24"/>
        <item x="48"/>
        <item x="88"/>
        <item x="122"/>
        <item x="55"/>
        <item x="90"/>
        <item x="107"/>
        <item x="59"/>
        <item x="13"/>
        <item x="127"/>
        <item x="3"/>
        <item x="46"/>
        <item x="49"/>
        <item x="69"/>
        <item x="119"/>
        <item x="61"/>
        <item x="124"/>
        <item x="39"/>
        <item x="32"/>
        <item x="77"/>
        <item x="125"/>
        <item x="75"/>
        <item x="116"/>
        <item x="98"/>
        <item x="112"/>
        <item x="14"/>
        <item x="104"/>
        <item x="34"/>
        <item x="78"/>
        <item x="53"/>
        <item x="35"/>
        <item x="60"/>
        <item x="72"/>
        <item x="120"/>
        <item x="52"/>
        <item x="105"/>
        <item x="5"/>
        <item x="42"/>
        <item x="94"/>
        <item x="11"/>
        <item x="50"/>
        <item x="74"/>
        <item x="117"/>
        <item x="58"/>
        <item x="54"/>
        <item x="92"/>
        <item x="28"/>
        <item x="38"/>
        <item x="2"/>
        <item x="56"/>
        <item x="121"/>
        <item x="6"/>
        <item x="17"/>
        <item x="18"/>
        <item x="9"/>
        <item x="4"/>
        <item x="15"/>
        <item x="81"/>
        <item x="7"/>
        <item x="93"/>
        <item x="19"/>
        <item x="64"/>
        <item x="16"/>
        <item x="100"/>
        <item x="22"/>
        <item x="0"/>
        <item x="65"/>
        <item x="95"/>
        <item x="103"/>
        <item x="80"/>
        <item x="33"/>
        <item x="12"/>
        <item x="82"/>
        <item x="1"/>
        <item x="91"/>
        <item x="113"/>
        <item x="108"/>
        <item x="8"/>
        <item x="66"/>
        <item x="85"/>
        <item x="68"/>
        <item x="21"/>
        <item x="40"/>
        <item x="96"/>
        <item x="63"/>
        <item x="36"/>
        <item x="83"/>
        <item x="20"/>
        <item x="67"/>
        <item x="86"/>
        <item x="31"/>
        <item x="84"/>
        <item x="70"/>
        <item x="76"/>
        <item x="10"/>
        <item x="115"/>
        <item x="29"/>
        <item x="87"/>
        <item x="27"/>
        <item x="37"/>
        <item x="71"/>
        <item x="106"/>
        <item x="51"/>
        <item x="101"/>
        <item x="45"/>
        <item x="110"/>
        <item x="30"/>
        <item x="41"/>
        <item x="57"/>
        <item x="111"/>
        <item x="123"/>
        <item x="25"/>
        <item x="44"/>
        <item x="126"/>
        <item x="114"/>
        <item x="109"/>
        <item x="23"/>
        <item x="79"/>
        <item t="default"/>
      </items>
    </pivotField>
    <pivotField showAll="0">
      <items count="18">
        <item x="4"/>
        <item x="12"/>
        <item x="13"/>
        <item x="8"/>
        <item x="10"/>
        <item x="15"/>
        <item x="16"/>
        <item x="7"/>
        <item x="14"/>
        <item x="9"/>
        <item x="5"/>
        <item x="11"/>
        <item x="6"/>
        <item x="3"/>
        <item x="1"/>
        <item x="2"/>
        <item x="0"/>
        <item t="default"/>
      </items>
    </pivotField>
    <pivotField showAll="0">
      <items count="35">
        <item x="4"/>
        <item x="22"/>
        <item x="31"/>
        <item x="33"/>
        <item x="27"/>
        <item x="5"/>
        <item x="32"/>
        <item x="25"/>
        <item x="24"/>
        <item x="30"/>
        <item x="2"/>
        <item x="29"/>
        <item x="18"/>
        <item x="8"/>
        <item x="13"/>
        <item x="23"/>
        <item x="12"/>
        <item x="28"/>
        <item x="19"/>
        <item x="21"/>
        <item x="11"/>
        <item x="26"/>
        <item x="15"/>
        <item x="9"/>
        <item x="17"/>
        <item x="16"/>
        <item x="7"/>
        <item x="6"/>
        <item x="14"/>
        <item x="20"/>
        <item x="1"/>
        <item x="3"/>
        <item x="0"/>
        <item x="10"/>
        <item t="default"/>
      </items>
    </pivotField>
    <pivotField showAll="0">
      <items count="12">
        <item x="1"/>
        <item x="4"/>
        <item x="2"/>
        <item x="9"/>
        <item x="6"/>
        <item x="5"/>
        <item x="7"/>
        <item x="3"/>
        <item x="8"/>
        <item x="10"/>
        <item x="0"/>
        <item t="default"/>
      </items>
    </pivotField>
    <pivotField showAll="0">
      <items count="23">
        <item x="4"/>
        <item x="7"/>
        <item x="19"/>
        <item x="16"/>
        <item x="13"/>
        <item x="2"/>
        <item x="20"/>
        <item x="9"/>
        <item x="17"/>
        <item x="21"/>
        <item x="10"/>
        <item x="15"/>
        <item x="18"/>
        <item x="11"/>
        <item x="12"/>
        <item x="3"/>
        <item x="1"/>
        <item x="8"/>
        <item x="6"/>
        <item x="5"/>
        <item x="14"/>
        <item x="0"/>
        <item t="default"/>
      </items>
    </pivotField>
    <pivotField dataField="1" showAll="0"/>
    <pivotField axis="axisRow" showAll="0">
      <items count="7">
        <item x="2"/>
        <item x="4"/>
        <item x="1"/>
        <item x="5"/>
        <item x="3"/>
        <item x="0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Štetje od Skupno" fld="8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C869C2-9404-4C8A-8079-18E3BF07AC0B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Vpisna" tableColumnId="1"/>
      <queryTableField id="2" name="Program" tableColumnId="2"/>
      <queryTableField id="3" name="Priimek" tableColumnId="3"/>
      <queryTableField id="4" name="Ime" tableColumnId="4"/>
      <queryTableField id="5" name="HTML" tableColumnId="5"/>
      <queryTableField id="6" name="LaTeX" tableColumnId="6"/>
      <queryTableField id="7" name="Excel" tableColumnId="7"/>
      <queryTableField id="8" name="Mathematica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D0FE3-11CC-4092-8C4D-57A60A0498DD}" name="vhodni_podatki__1" displayName="vhodni_podatki__1" ref="A1:J135" tableType="queryTable" totalsRowShown="0">
  <autoFilter ref="A1:J135" xr:uid="{FEFD0FE3-11CC-4092-8C4D-57A60A0498DD}"/>
  <sortState xmlns:xlrd2="http://schemas.microsoft.com/office/spreadsheetml/2017/richdata2" ref="A2:H135">
    <sortCondition ref="C2:C135"/>
    <sortCondition ref="D2:D135"/>
  </sortState>
  <tableColumns count="10">
    <tableColumn id="1" xr3:uid="{18BBF415-89AF-488F-A817-3B9B90F6E4E9}" uniqueName="1" name="Vpisna" queryTableFieldId="1"/>
    <tableColumn id="2" xr3:uid="{8C575AFF-3ADD-4031-B9EE-E15BB1C86F41}" uniqueName="2" name="Program" queryTableFieldId="2" dataDxfId="6"/>
    <tableColumn id="3" xr3:uid="{0C03B28E-62CB-4DB2-94BD-A2E21DB2F29B}" uniqueName="3" name="Priimek" queryTableFieldId="3" dataDxfId="5"/>
    <tableColumn id="4" xr3:uid="{81236C8A-2B91-4E0A-96CB-45E6834CA1F1}" uniqueName="4" name="Ime" queryTableFieldId="4" dataDxfId="4"/>
    <tableColumn id="5" xr3:uid="{89DCEC38-4D11-4E3B-859D-731D80E0FBFF}" uniqueName="5" name="HTML" queryTableFieldId="5"/>
    <tableColumn id="6" xr3:uid="{F225EF3C-0C66-44FB-952F-CF976D601E8C}" uniqueName="6" name="LaTeX" queryTableFieldId="6"/>
    <tableColumn id="7" xr3:uid="{F7F50A31-3608-4235-BD14-F0E481CD0AF1}" uniqueName="7" name="Excel" queryTableFieldId="7"/>
    <tableColumn id="8" xr3:uid="{E99B7D0D-62D9-4563-BCA6-66D848800378}" uniqueName="8" name="Mathematica" queryTableFieldId="8"/>
    <tableColumn id="9" xr3:uid="{F3EDA56E-653C-4B2C-A516-EB2A13CC05D6}" uniqueName="9" name="Skupno" queryTableFieldId="9" dataDxfId="3">
      <calculatedColumnFormula>vhodni_podatki__1[[#This Row],[HTML]]+vhodni_podatki__1[[#This Row],[LaTeX]]+vhodni_podatki__1[[#This Row],[Excel]]+vhodni_podatki__1[[#This Row],[Mathematica]]</calculatedColumnFormula>
    </tableColumn>
    <tableColumn id="10" xr3:uid="{A424DCFF-E208-45CA-A72C-7C78EAE2E272}" uniqueName="10" name="Ocena" queryTableFieldId="10" dataDxfId="0">
      <calculatedColumnFormula array="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B052-32BA-49E1-BC8C-BBBE35BE9859}">
  <dimension ref="A1:Q135"/>
  <sheetViews>
    <sheetView tabSelected="1" workbookViewId="0">
      <selection activeCell="L5" sqref="L5"/>
    </sheetView>
  </sheetViews>
  <sheetFormatPr defaultRowHeight="14.4" x14ac:dyDescent="0.3"/>
  <cols>
    <col min="1" max="1" width="9" bestFit="1" customWidth="1"/>
    <col min="2" max="2" width="10.21875" bestFit="1" customWidth="1"/>
    <col min="3" max="3" width="9.77734375" bestFit="1" customWidth="1"/>
    <col min="5" max="5" width="7.77734375" bestFit="1" customWidth="1"/>
    <col min="6" max="6" width="8.109375" bestFit="1" customWidth="1"/>
    <col min="7" max="7" width="7.6640625" bestFit="1" customWidth="1"/>
    <col min="8" max="8" width="14.21875" bestFit="1" customWidth="1"/>
    <col min="11" max="11" width="15.109375" bestFit="1" customWidth="1"/>
    <col min="12" max="12" width="17" bestFit="1" customWidth="1"/>
    <col min="13" max="13" width="4.6640625" bestFit="1" customWidth="1"/>
    <col min="14" max="14" width="3.88671875" bestFit="1" customWidth="1"/>
    <col min="15" max="15" width="4.44140625" bestFit="1" customWidth="1"/>
    <col min="16" max="16" width="4.33203125" bestFit="1" customWidth="1"/>
    <col min="17" max="17" width="12" bestFit="1" customWidth="1"/>
    <col min="18" max="18" width="19.6640625" bestFit="1" customWidth="1"/>
    <col min="19" max="19" width="12.88671875" bestFit="1" customWidth="1"/>
    <col min="20" max="20" width="13.44140625" bestFit="1" customWidth="1"/>
    <col min="21" max="21" width="19.6640625" bestFit="1" customWidth="1"/>
    <col min="22" max="22" width="12.88671875" bestFit="1" customWidth="1"/>
    <col min="23" max="23" width="13.44140625" bestFit="1" customWidth="1"/>
    <col min="24" max="24" width="19.6640625" bestFit="1" customWidth="1"/>
    <col min="25" max="25" width="12.88671875" bestFit="1" customWidth="1"/>
    <col min="26" max="26" width="13.44140625" bestFit="1" customWidth="1"/>
    <col min="27" max="27" width="19.6640625" bestFit="1" customWidth="1"/>
    <col min="28" max="28" width="12.88671875" bestFit="1" customWidth="1"/>
    <col min="29" max="29" width="13.44140625" bestFit="1" customWidth="1"/>
    <col min="30" max="30" width="19.6640625" bestFit="1" customWidth="1"/>
    <col min="31" max="31" width="12.88671875" bestFit="1" customWidth="1"/>
    <col min="32" max="32" width="13.44140625" bestFit="1" customWidth="1"/>
    <col min="33" max="33" width="19.6640625" bestFit="1" customWidth="1"/>
    <col min="34" max="34" width="12.88671875" bestFit="1" customWidth="1"/>
    <col min="35" max="35" width="13.44140625" bestFit="1" customWidth="1"/>
    <col min="36" max="36" width="19.6640625" bestFit="1" customWidth="1"/>
    <col min="37" max="37" width="12.88671875" bestFit="1" customWidth="1"/>
    <col min="38" max="38" width="13.44140625" bestFit="1" customWidth="1"/>
    <col min="39" max="39" width="19.6640625" bestFit="1" customWidth="1"/>
    <col min="40" max="40" width="12.88671875" bestFit="1" customWidth="1"/>
    <col min="41" max="41" width="13.44140625" bestFit="1" customWidth="1"/>
    <col min="42" max="42" width="19.6640625" bestFit="1" customWidth="1"/>
    <col min="43" max="43" width="12.88671875" bestFit="1" customWidth="1"/>
    <col min="44" max="44" width="13.44140625" bestFit="1" customWidth="1"/>
    <col min="45" max="45" width="19.6640625" bestFit="1" customWidth="1"/>
    <col min="46" max="46" width="12.88671875" bestFit="1" customWidth="1"/>
    <col min="47" max="47" width="13.44140625" bestFit="1" customWidth="1"/>
    <col min="48" max="48" width="19.6640625" bestFit="1" customWidth="1"/>
    <col min="49" max="49" width="12.88671875" bestFit="1" customWidth="1"/>
    <col min="50" max="50" width="13.44140625" bestFit="1" customWidth="1"/>
    <col min="51" max="51" width="19.6640625" bestFit="1" customWidth="1"/>
    <col min="52" max="52" width="12.88671875" bestFit="1" customWidth="1"/>
    <col min="53" max="53" width="13.44140625" bestFit="1" customWidth="1"/>
    <col min="54" max="54" width="19.6640625" bestFit="1" customWidth="1"/>
    <col min="55" max="55" width="12.88671875" bestFit="1" customWidth="1"/>
    <col min="56" max="56" width="13.44140625" bestFit="1" customWidth="1"/>
    <col min="57" max="57" width="19.6640625" bestFit="1" customWidth="1"/>
    <col min="58" max="58" width="12.88671875" bestFit="1" customWidth="1"/>
    <col min="59" max="59" width="13.44140625" bestFit="1" customWidth="1"/>
    <col min="60" max="60" width="19.6640625" bestFit="1" customWidth="1"/>
    <col min="61" max="61" width="12.88671875" bestFit="1" customWidth="1"/>
    <col min="62" max="62" width="13.44140625" bestFit="1" customWidth="1"/>
    <col min="63" max="63" width="24.77734375" bestFit="1" customWidth="1"/>
    <col min="64" max="64" width="18.109375" bestFit="1" customWidth="1"/>
    <col min="65" max="65" width="18.5546875" bestFit="1" customWidth="1"/>
    <col min="66" max="66" width="22.109375" bestFit="1" customWidth="1"/>
    <col min="67" max="67" width="15.33203125" bestFit="1" customWidth="1"/>
    <col min="68" max="68" width="19.6640625" bestFit="1" customWidth="1"/>
    <col min="69" max="69" width="12.88671875" bestFit="1" customWidth="1"/>
    <col min="70" max="70" width="19.6640625" bestFit="1" customWidth="1"/>
    <col min="71" max="71" width="12.88671875" bestFit="1" customWidth="1"/>
    <col min="72" max="72" width="19.6640625" bestFit="1" customWidth="1"/>
    <col min="73" max="73" width="12.88671875" bestFit="1" customWidth="1"/>
    <col min="74" max="74" width="22.109375" bestFit="1" customWidth="1"/>
    <col min="75" max="75" width="15.33203125" bestFit="1" customWidth="1"/>
    <col min="76" max="76" width="19.6640625" bestFit="1" customWidth="1"/>
    <col min="77" max="77" width="12.88671875" bestFit="1" customWidth="1"/>
    <col min="78" max="78" width="19.6640625" bestFit="1" customWidth="1"/>
    <col min="79" max="79" width="12.88671875" bestFit="1" customWidth="1"/>
    <col min="80" max="80" width="19.6640625" bestFit="1" customWidth="1"/>
    <col min="81" max="81" width="12.88671875" bestFit="1" customWidth="1"/>
    <col min="82" max="82" width="19.6640625" bestFit="1" customWidth="1"/>
    <col min="83" max="83" width="12.88671875" bestFit="1" customWidth="1"/>
    <col min="84" max="84" width="19.6640625" bestFit="1" customWidth="1"/>
    <col min="85" max="85" width="12.88671875" bestFit="1" customWidth="1"/>
    <col min="86" max="86" width="22.109375" bestFit="1" customWidth="1"/>
    <col min="87" max="87" width="15.33203125" bestFit="1" customWidth="1"/>
    <col min="88" max="88" width="19.6640625" bestFit="1" customWidth="1"/>
    <col min="89" max="89" width="12.88671875" bestFit="1" customWidth="1"/>
    <col min="90" max="90" width="19.6640625" bestFit="1" customWidth="1"/>
    <col min="91" max="91" width="12.88671875" bestFit="1" customWidth="1"/>
    <col min="92" max="92" width="19.6640625" bestFit="1" customWidth="1"/>
    <col min="93" max="93" width="12.88671875" bestFit="1" customWidth="1"/>
    <col min="94" max="94" width="19.6640625" bestFit="1" customWidth="1"/>
    <col min="95" max="95" width="12.88671875" bestFit="1" customWidth="1"/>
    <col min="96" max="96" width="19.6640625" bestFit="1" customWidth="1"/>
    <col min="97" max="97" width="12.88671875" bestFit="1" customWidth="1"/>
    <col min="98" max="98" width="22.109375" bestFit="1" customWidth="1"/>
    <col min="99" max="99" width="15.33203125" bestFit="1" customWidth="1"/>
    <col min="100" max="100" width="19.6640625" bestFit="1" customWidth="1"/>
    <col min="101" max="101" width="12.88671875" bestFit="1" customWidth="1"/>
    <col min="102" max="102" width="19.6640625" bestFit="1" customWidth="1"/>
    <col min="103" max="103" width="12.88671875" bestFit="1" customWidth="1"/>
    <col min="104" max="104" width="19.6640625" bestFit="1" customWidth="1"/>
    <col min="105" max="105" width="12.88671875" bestFit="1" customWidth="1"/>
    <col min="106" max="106" width="19.6640625" bestFit="1" customWidth="1"/>
    <col min="107" max="107" width="12.88671875" bestFit="1" customWidth="1"/>
    <col min="108" max="108" width="19.6640625" bestFit="1" customWidth="1"/>
    <col min="109" max="109" width="12.88671875" bestFit="1" customWidth="1"/>
    <col min="110" max="110" width="19.6640625" bestFit="1" customWidth="1"/>
    <col min="111" max="111" width="12.88671875" bestFit="1" customWidth="1"/>
    <col min="112" max="112" width="19.6640625" bestFit="1" customWidth="1"/>
    <col min="113" max="113" width="12.88671875" bestFit="1" customWidth="1"/>
    <col min="114" max="114" width="19.6640625" bestFit="1" customWidth="1"/>
    <col min="115" max="115" width="12.88671875" bestFit="1" customWidth="1"/>
    <col min="116" max="116" width="22.109375" bestFit="1" customWidth="1"/>
    <col min="117" max="117" width="15.33203125" bestFit="1" customWidth="1"/>
    <col min="118" max="118" width="19.6640625" bestFit="1" customWidth="1"/>
    <col min="119" max="119" width="12.88671875" bestFit="1" customWidth="1"/>
    <col min="120" max="120" width="19.6640625" bestFit="1" customWidth="1"/>
    <col min="121" max="121" width="12.88671875" bestFit="1" customWidth="1"/>
    <col min="122" max="122" width="19.6640625" bestFit="1" customWidth="1"/>
    <col min="123" max="123" width="12.88671875" bestFit="1" customWidth="1"/>
    <col min="124" max="124" width="19.6640625" bestFit="1" customWidth="1"/>
    <col min="125" max="125" width="12.88671875" bestFit="1" customWidth="1"/>
    <col min="126" max="126" width="19.6640625" bestFit="1" customWidth="1"/>
    <col min="127" max="127" width="12.88671875" bestFit="1" customWidth="1"/>
    <col min="128" max="128" width="19.6640625" bestFit="1" customWidth="1"/>
    <col min="129" max="129" width="12.88671875" bestFit="1" customWidth="1"/>
    <col min="130" max="130" width="19.6640625" bestFit="1" customWidth="1"/>
    <col min="131" max="131" width="12.88671875" bestFit="1" customWidth="1"/>
    <col min="132" max="132" width="19.6640625" bestFit="1" customWidth="1"/>
    <col min="133" max="133" width="12.88671875" bestFit="1" customWidth="1"/>
    <col min="134" max="134" width="22.109375" bestFit="1" customWidth="1"/>
    <col min="135" max="135" width="15.33203125" bestFit="1" customWidth="1"/>
    <col min="136" max="136" width="19.6640625" bestFit="1" customWidth="1"/>
    <col min="137" max="137" width="12.88671875" bestFit="1" customWidth="1"/>
    <col min="138" max="138" width="19.6640625" bestFit="1" customWidth="1"/>
    <col min="139" max="139" width="12.88671875" bestFit="1" customWidth="1"/>
    <col min="140" max="140" width="19.6640625" bestFit="1" customWidth="1"/>
    <col min="141" max="141" width="12.88671875" bestFit="1" customWidth="1"/>
    <col min="142" max="142" width="19.6640625" bestFit="1" customWidth="1"/>
    <col min="143" max="143" width="12.88671875" bestFit="1" customWidth="1"/>
    <col min="144" max="144" width="19.6640625" bestFit="1" customWidth="1"/>
    <col min="145" max="145" width="12.88671875" bestFit="1" customWidth="1"/>
    <col min="146" max="146" width="19.6640625" bestFit="1" customWidth="1"/>
    <col min="147" max="147" width="12.88671875" bestFit="1" customWidth="1"/>
    <col min="148" max="148" width="19.6640625" bestFit="1" customWidth="1"/>
    <col min="149" max="149" width="12.88671875" bestFit="1" customWidth="1"/>
    <col min="150" max="150" width="19.6640625" bestFit="1" customWidth="1"/>
    <col min="151" max="151" width="12.88671875" bestFit="1" customWidth="1"/>
    <col min="152" max="152" width="19.6640625" bestFit="1" customWidth="1"/>
    <col min="153" max="153" width="12.88671875" bestFit="1" customWidth="1"/>
    <col min="154" max="154" width="19.6640625" bestFit="1" customWidth="1"/>
    <col min="155" max="155" width="12.88671875" bestFit="1" customWidth="1"/>
    <col min="156" max="156" width="19.6640625" bestFit="1" customWidth="1"/>
    <col min="157" max="157" width="12.88671875" bestFit="1" customWidth="1"/>
    <col min="158" max="158" width="19.6640625" bestFit="1" customWidth="1"/>
    <col min="159" max="159" width="12.88671875" bestFit="1" customWidth="1"/>
    <col min="160" max="160" width="19.6640625" bestFit="1" customWidth="1"/>
    <col min="161" max="161" width="12.88671875" bestFit="1" customWidth="1"/>
    <col min="162" max="162" width="19.6640625" bestFit="1" customWidth="1"/>
    <col min="163" max="163" width="12.88671875" bestFit="1" customWidth="1"/>
    <col min="164" max="164" width="22.109375" bestFit="1" customWidth="1"/>
    <col min="165" max="165" width="15.33203125" bestFit="1" customWidth="1"/>
    <col min="166" max="166" width="19.6640625" bestFit="1" customWidth="1"/>
    <col min="167" max="167" width="12.88671875" bestFit="1" customWidth="1"/>
    <col min="168" max="168" width="19.6640625" bestFit="1" customWidth="1"/>
    <col min="169" max="169" width="12.88671875" bestFit="1" customWidth="1"/>
    <col min="170" max="170" width="19.6640625" bestFit="1" customWidth="1"/>
    <col min="171" max="171" width="12.88671875" bestFit="1" customWidth="1"/>
    <col min="172" max="172" width="19.6640625" bestFit="1" customWidth="1"/>
    <col min="173" max="173" width="12.88671875" bestFit="1" customWidth="1"/>
    <col min="174" max="174" width="19.6640625" bestFit="1" customWidth="1"/>
    <col min="175" max="175" width="12.88671875" bestFit="1" customWidth="1"/>
    <col min="176" max="176" width="19.6640625" bestFit="1" customWidth="1"/>
    <col min="177" max="177" width="12.88671875" bestFit="1" customWidth="1"/>
    <col min="178" max="178" width="19.6640625" bestFit="1" customWidth="1"/>
    <col min="179" max="179" width="12.88671875" bestFit="1" customWidth="1"/>
    <col min="180" max="180" width="19.6640625" bestFit="1" customWidth="1"/>
    <col min="181" max="181" width="12.88671875" bestFit="1" customWidth="1"/>
    <col min="182" max="182" width="19.6640625" bestFit="1" customWidth="1"/>
    <col min="183" max="183" width="12.88671875" bestFit="1" customWidth="1"/>
    <col min="184" max="184" width="19.6640625" bestFit="1" customWidth="1"/>
    <col min="185" max="185" width="12.88671875" bestFit="1" customWidth="1"/>
    <col min="186" max="186" width="19.6640625" bestFit="1" customWidth="1"/>
    <col min="187" max="187" width="12.88671875" bestFit="1" customWidth="1"/>
    <col min="188" max="188" width="19.6640625" bestFit="1" customWidth="1"/>
    <col min="189" max="189" width="12.88671875" bestFit="1" customWidth="1"/>
    <col min="190" max="190" width="19.6640625" bestFit="1" customWidth="1"/>
    <col min="191" max="191" width="12.88671875" bestFit="1" customWidth="1"/>
    <col min="192" max="192" width="19.6640625" bestFit="1" customWidth="1"/>
    <col min="193" max="193" width="12.88671875" bestFit="1" customWidth="1"/>
    <col min="194" max="194" width="19.6640625" bestFit="1" customWidth="1"/>
    <col min="195" max="195" width="12.88671875" bestFit="1" customWidth="1"/>
    <col min="196" max="196" width="22.109375" bestFit="1" customWidth="1"/>
    <col min="197" max="197" width="15.33203125" bestFit="1" customWidth="1"/>
    <col min="198" max="198" width="19.6640625" bestFit="1" customWidth="1"/>
    <col min="199" max="199" width="12.88671875" bestFit="1" customWidth="1"/>
    <col min="200" max="200" width="19.6640625" bestFit="1" customWidth="1"/>
    <col min="201" max="201" width="12.88671875" bestFit="1" customWidth="1"/>
    <col min="202" max="202" width="19.6640625" bestFit="1" customWidth="1"/>
    <col min="203" max="203" width="12.88671875" bestFit="1" customWidth="1"/>
    <col min="204" max="204" width="19.6640625" bestFit="1" customWidth="1"/>
    <col min="205" max="205" width="12.88671875" bestFit="1" customWidth="1"/>
    <col min="206" max="206" width="19.6640625" bestFit="1" customWidth="1"/>
    <col min="207" max="207" width="12.88671875" bestFit="1" customWidth="1"/>
    <col min="208" max="208" width="19.6640625" bestFit="1" customWidth="1"/>
    <col min="209" max="209" width="12.88671875" bestFit="1" customWidth="1"/>
    <col min="210" max="210" width="19.6640625" bestFit="1" customWidth="1"/>
    <col min="211" max="211" width="12.88671875" bestFit="1" customWidth="1"/>
    <col min="212" max="212" width="22.109375" bestFit="1" customWidth="1"/>
    <col min="213" max="213" width="15.33203125" bestFit="1" customWidth="1"/>
    <col min="214" max="214" width="24.77734375" bestFit="1" customWidth="1"/>
    <col min="215" max="215" width="18.109375" bestFit="1" customWidth="1"/>
    <col min="216" max="216" width="3" bestFit="1" customWidth="1"/>
    <col min="217" max="219" width="8" bestFit="1" customWidth="1"/>
    <col min="220" max="220" width="4.6640625" bestFit="1" customWidth="1"/>
    <col min="221" max="222" width="7" bestFit="1" customWidth="1"/>
    <col min="223" max="223" width="4.6640625" bestFit="1" customWidth="1"/>
    <col min="224" max="224" width="8" bestFit="1" customWidth="1"/>
    <col min="225" max="225" width="7" bestFit="1" customWidth="1"/>
    <col min="226" max="226" width="4.6640625" bestFit="1" customWidth="1"/>
    <col min="227" max="227" width="3" bestFit="1" customWidth="1"/>
    <col min="228" max="228" width="8" bestFit="1" customWidth="1"/>
    <col min="229" max="229" width="4.6640625" bestFit="1" customWidth="1"/>
    <col min="230" max="230" width="8" bestFit="1" customWidth="1"/>
    <col min="231" max="231" width="4.6640625" bestFit="1" customWidth="1"/>
    <col min="232" max="233" width="3" bestFit="1" customWidth="1"/>
    <col min="234" max="234" width="8" bestFit="1" customWidth="1"/>
    <col min="235" max="235" width="4.6640625" bestFit="1" customWidth="1"/>
    <col min="236" max="236" width="3" bestFit="1" customWidth="1"/>
    <col min="237" max="237" width="8" bestFit="1" customWidth="1"/>
    <col min="238" max="238" width="4.6640625" bestFit="1" customWidth="1"/>
    <col min="239" max="241" width="8" bestFit="1" customWidth="1"/>
    <col min="242" max="242" width="4.6640625" bestFit="1" customWidth="1"/>
    <col min="243" max="243" width="8" bestFit="1" customWidth="1"/>
    <col min="244" max="244" width="7" bestFit="1" customWidth="1"/>
    <col min="245" max="245" width="3.6640625" bestFit="1" customWidth="1"/>
    <col min="246" max="247" width="7" bestFit="1" customWidth="1"/>
    <col min="248" max="248" width="4.6640625" bestFit="1" customWidth="1"/>
    <col min="249" max="249" width="8" bestFit="1" customWidth="1"/>
    <col min="250" max="250" width="7" bestFit="1" customWidth="1"/>
    <col min="251" max="251" width="4.6640625" bestFit="1" customWidth="1"/>
    <col min="252" max="252" width="8" bestFit="1" customWidth="1"/>
    <col min="253" max="253" width="7" bestFit="1" customWidth="1"/>
    <col min="254" max="254" width="4.6640625" bestFit="1" customWidth="1"/>
    <col min="255" max="255" width="8" bestFit="1" customWidth="1"/>
    <col min="256" max="256" width="4.6640625" bestFit="1" customWidth="1"/>
    <col min="257" max="258" width="3" bestFit="1" customWidth="1"/>
    <col min="259" max="259" width="8" bestFit="1" customWidth="1"/>
    <col min="260" max="260" width="4.6640625" bestFit="1" customWidth="1"/>
    <col min="261" max="262" width="3" bestFit="1" customWidth="1"/>
    <col min="263" max="265" width="8" bestFit="1" customWidth="1"/>
    <col min="266" max="266" width="4.6640625" bestFit="1" customWidth="1"/>
    <col min="267" max="267" width="8" bestFit="1" customWidth="1"/>
    <col min="268" max="268" width="7" bestFit="1" customWidth="1"/>
    <col min="269" max="269" width="4.6640625" bestFit="1" customWidth="1"/>
    <col min="270" max="270" width="3" bestFit="1" customWidth="1"/>
    <col min="271" max="271" width="8" bestFit="1" customWidth="1"/>
    <col min="272" max="272" width="4.6640625" bestFit="1" customWidth="1"/>
    <col min="273" max="275" width="8" bestFit="1" customWidth="1"/>
    <col min="276" max="276" width="4.6640625" bestFit="1" customWidth="1"/>
    <col min="277" max="277" width="8" bestFit="1" customWidth="1"/>
    <col min="278" max="278" width="4.6640625" bestFit="1" customWidth="1"/>
    <col min="279" max="279" width="8" bestFit="1" customWidth="1"/>
    <col min="280" max="280" width="4.6640625" bestFit="1" customWidth="1"/>
    <col min="281" max="284" width="3" bestFit="1" customWidth="1"/>
    <col min="285" max="285" width="8" bestFit="1" customWidth="1"/>
    <col min="286" max="286" width="4.6640625" bestFit="1" customWidth="1"/>
    <col min="287" max="288" width="3" bestFit="1" customWidth="1"/>
    <col min="289" max="289" width="8" bestFit="1" customWidth="1"/>
    <col min="290" max="290" width="4.6640625" bestFit="1" customWidth="1"/>
    <col min="291" max="291" width="3" bestFit="1" customWidth="1"/>
    <col min="292" max="294" width="8" bestFit="1" customWidth="1"/>
    <col min="295" max="295" width="1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241</v>
      </c>
      <c r="J1" t="s">
        <v>242</v>
      </c>
    </row>
    <row r="2" spans="1:17" x14ac:dyDescent="0.3">
      <c r="A2">
        <v>27242984</v>
      </c>
      <c r="B2" s="1" t="s">
        <v>8</v>
      </c>
      <c r="C2" s="1" t="s">
        <v>193</v>
      </c>
      <c r="D2" s="1" t="s">
        <v>232</v>
      </c>
      <c r="E2">
        <v>20</v>
      </c>
      <c r="F2">
        <v>36</v>
      </c>
      <c r="G2">
        <v>12</v>
      </c>
      <c r="H2">
        <v>32</v>
      </c>
      <c r="I2">
        <f>vhodni_podatki__1[[#This Row],[HTML]]+vhodni_podatki__1[[#This Row],[LaTeX]]+vhodni_podatki__1[[#This Row],[Excel]]+vhodni_podatki__1[[#This Row],[Mathematica]]</f>
        <v>100</v>
      </c>
      <c r="J2" cm="1">
        <f t="array" ref="J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3" spans="1:17" x14ac:dyDescent="0.3">
      <c r="A3">
        <v>27242820</v>
      </c>
      <c r="B3" s="1" t="s">
        <v>11</v>
      </c>
      <c r="C3" s="1" t="s">
        <v>193</v>
      </c>
      <c r="D3" s="1" t="s">
        <v>194</v>
      </c>
      <c r="E3">
        <v>18</v>
      </c>
      <c r="F3">
        <v>34</v>
      </c>
      <c r="G3">
        <v>12</v>
      </c>
      <c r="H3">
        <v>27</v>
      </c>
      <c r="I3">
        <f>vhodni_podatki__1[[#This Row],[HTML]]+vhodni_podatki__1[[#This Row],[LaTeX]]+vhodni_podatki__1[[#This Row],[Excel]]+vhodni_podatki__1[[#This Row],[Mathematica]]</f>
        <v>91</v>
      </c>
      <c r="J3" cm="1">
        <f t="array" ref="J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4" spans="1:17" x14ac:dyDescent="0.3">
      <c r="A4">
        <v>27242965</v>
      </c>
      <c r="B4" s="1" t="s">
        <v>8</v>
      </c>
      <c r="C4" s="1" t="s">
        <v>227</v>
      </c>
      <c r="D4" s="1" t="s">
        <v>228</v>
      </c>
      <c r="E4">
        <v>19</v>
      </c>
      <c r="F4">
        <v>14</v>
      </c>
      <c r="G4">
        <v>12</v>
      </c>
      <c r="H4">
        <v>16</v>
      </c>
      <c r="I4">
        <f>vhodni_podatki__1[[#This Row],[HTML]]+vhodni_podatki__1[[#This Row],[LaTeX]]+vhodni_podatki__1[[#This Row],[Excel]]+vhodni_podatki__1[[#This Row],[Mathematica]]</f>
        <v>61</v>
      </c>
      <c r="J4" cm="1">
        <f t="array" ref="J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5" spans="1:17" x14ac:dyDescent="0.3">
      <c r="A5">
        <v>27242701</v>
      </c>
      <c r="B5" s="1" t="s">
        <v>11</v>
      </c>
      <c r="C5" s="1" t="s">
        <v>99</v>
      </c>
      <c r="D5" s="1" t="s">
        <v>177</v>
      </c>
      <c r="E5">
        <v>17</v>
      </c>
      <c r="F5">
        <v>35</v>
      </c>
      <c r="G5">
        <v>12</v>
      </c>
      <c r="H5">
        <v>26</v>
      </c>
      <c r="I5">
        <f>vhodni_podatki__1[[#This Row],[HTML]]+vhodni_podatki__1[[#This Row],[LaTeX]]+vhodni_podatki__1[[#This Row],[Excel]]+vhodni_podatki__1[[#This Row],[Mathematica]]</f>
        <v>90</v>
      </c>
      <c r="J5" cm="1">
        <f t="array" ref="J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6" spans="1:17" x14ac:dyDescent="0.3">
      <c r="A6">
        <v>27242370</v>
      </c>
      <c r="B6" s="1" t="s">
        <v>8</v>
      </c>
      <c r="C6" s="1" t="s">
        <v>99</v>
      </c>
      <c r="D6" s="1" t="s">
        <v>100</v>
      </c>
      <c r="E6">
        <v>0</v>
      </c>
      <c r="F6">
        <v>0</v>
      </c>
      <c r="G6">
        <v>0</v>
      </c>
      <c r="H6">
        <v>0</v>
      </c>
      <c r="I6">
        <f>vhodni_podatki__1[[#This Row],[HTML]]+vhodni_podatki__1[[#This Row],[LaTeX]]+vhodni_podatki__1[[#This Row],[Excel]]+vhodni_podatki__1[[#This Row],[Mathematica]]</f>
        <v>0</v>
      </c>
      <c r="J6" cm="1">
        <f t="array" ref="J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7" spans="1:17" x14ac:dyDescent="0.3">
      <c r="A7">
        <v>27242440</v>
      </c>
      <c r="B7" s="1" t="s">
        <v>8</v>
      </c>
      <c r="C7" s="1" t="s">
        <v>31</v>
      </c>
      <c r="D7" s="1" t="s">
        <v>119</v>
      </c>
      <c r="E7">
        <v>0</v>
      </c>
      <c r="F7">
        <v>9</v>
      </c>
      <c r="G7">
        <v>4</v>
      </c>
      <c r="H7">
        <v>30</v>
      </c>
      <c r="I7">
        <f>vhodni_podatki__1[[#This Row],[HTML]]+vhodni_podatki__1[[#This Row],[LaTeX]]+vhodni_podatki__1[[#This Row],[Excel]]+vhodni_podatki__1[[#This Row],[Mathematica]]</f>
        <v>43</v>
      </c>
      <c r="J7" cm="1">
        <f t="array" ref="J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8" spans="1:17" x14ac:dyDescent="0.3">
      <c r="A8">
        <v>27242091</v>
      </c>
      <c r="B8" s="1" t="s">
        <v>8</v>
      </c>
      <c r="C8" s="1" t="s">
        <v>31</v>
      </c>
      <c r="D8" s="1" t="s">
        <v>32</v>
      </c>
      <c r="E8">
        <v>14</v>
      </c>
      <c r="F8">
        <v>34</v>
      </c>
      <c r="G8">
        <v>12</v>
      </c>
      <c r="H8">
        <v>29</v>
      </c>
      <c r="I8">
        <f>vhodni_podatki__1[[#This Row],[HTML]]+vhodni_podatki__1[[#This Row],[LaTeX]]+vhodni_podatki__1[[#This Row],[Excel]]+vhodni_podatki__1[[#This Row],[Mathematica]]</f>
        <v>89</v>
      </c>
      <c r="J8" cm="1">
        <f t="array" ref="J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9" spans="1:17" x14ac:dyDescent="0.3">
      <c r="A9">
        <v>27242906</v>
      </c>
      <c r="B9" s="1" t="s">
        <v>8</v>
      </c>
      <c r="C9" s="1" t="s">
        <v>208</v>
      </c>
      <c r="D9" s="1" t="s">
        <v>209</v>
      </c>
      <c r="E9">
        <v>20</v>
      </c>
      <c r="F9">
        <v>35</v>
      </c>
      <c r="G9">
        <v>12</v>
      </c>
      <c r="H9">
        <v>32</v>
      </c>
      <c r="I9">
        <f>vhodni_podatki__1[[#This Row],[HTML]]+vhodni_podatki__1[[#This Row],[LaTeX]]+vhodni_podatki__1[[#This Row],[Excel]]+vhodni_podatki__1[[#This Row],[Mathematica]]</f>
        <v>99</v>
      </c>
      <c r="J9" cm="1">
        <f t="array" ref="J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0" spans="1:17" x14ac:dyDescent="0.3">
      <c r="A10">
        <v>27242250</v>
      </c>
      <c r="B10" s="1" t="s">
        <v>11</v>
      </c>
      <c r="C10" s="1" t="s">
        <v>70</v>
      </c>
      <c r="D10" s="1" t="s">
        <v>71</v>
      </c>
      <c r="E10">
        <v>16</v>
      </c>
      <c r="F10">
        <v>31</v>
      </c>
      <c r="G10">
        <v>12</v>
      </c>
      <c r="H10">
        <v>27</v>
      </c>
      <c r="I10">
        <f>vhodni_podatki__1[[#This Row],[HTML]]+vhodni_podatki__1[[#This Row],[LaTeX]]+vhodni_podatki__1[[#This Row],[Excel]]+vhodni_podatki__1[[#This Row],[Mathematica]]</f>
        <v>86</v>
      </c>
      <c r="J10" cm="1">
        <f t="array" ref="J1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11" spans="1:17" x14ac:dyDescent="0.3">
      <c r="A11">
        <v>27242189</v>
      </c>
      <c r="B11" s="1" t="s">
        <v>8</v>
      </c>
      <c r="C11" s="1" t="s">
        <v>57</v>
      </c>
      <c r="D11" s="1" t="s">
        <v>58</v>
      </c>
      <c r="E11">
        <v>18</v>
      </c>
      <c r="F11">
        <v>30</v>
      </c>
      <c r="G11">
        <v>12</v>
      </c>
      <c r="H11">
        <v>30</v>
      </c>
      <c r="I11">
        <f>vhodni_podatki__1[[#This Row],[HTML]]+vhodni_podatki__1[[#This Row],[LaTeX]]+vhodni_podatki__1[[#This Row],[Excel]]+vhodni_podatki__1[[#This Row],[Mathematica]]</f>
        <v>90</v>
      </c>
      <c r="J11" cm="1">
        <f t="array" ref="J1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  <c r="K11" s="2" t="s">
        <v>246</v>
      </c>
      <c r="L11" s="2" t="s">
        <v>245</v>
      </c>
    </row>
    <row r="12" spans="1:17" x14ac:dyDescent="0.3">
      <c r="A12">
        <v>27242372</v>
      </c>
      <c r="B12" s="1" t="s">
        <v>8</v>
      </c>
      <c r="C12" s="1" t="s">
        <v>101</v>
      </c>
      <c r="D12" s="1" t="s">
        <v>102</v>
      </c>
      <c r="E12">
        <v>11</v>
      </c>
      <c r="F12">
        <v>17</v>
      </c>
      <c r="G12">
        <v>0</v>
      </c>
      <c r="H12">
        <v>6</v>
      </c>
      <c r="I12">
        <f>vhodni_podatki__1[[#This Row],[HTML]]+vhodni_podatki__1[[#This Row],[LaTeX]]+vhodni_podatki__1[[#This Row],[Excel]]+vhodni_podatki__1[[#This Row],[Mathematica]]</f>
        <v>34</v>
      </c>
      <c r="J12" cm="1">
        <f t="array" ref="J1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  <c r="K12" s="2" t="s">
        <v>243</v>
      </c>
      <c r="L12" t="s">
        <v>236</v>
      </c>
      <c r="M12" t="s">
        <v>16</v>
      </c>
      <c r="N12" t="s">
        <v>11</v>
      </c>
      <c r="O12" t="s">
        <v>8</v>
      </c>
      <c r="P12" t="s">
        <v>67</v>
      </c>
      <c r="Q12" t="s">
        <v>244</v>
      </c>
    </row>
    <row r="13" spans="1:17" x14ac:dyDescent="0.3">
      <c r="A13">
        <v>27242410</v>
      </c>
      <c r="B13" s="1" t="s">
        <v>67</v>
      </c>
      <c r="C13" s="1" t="s">
        <v>116</v>
      </c>
      <c r="D13" s="1" t="s">
        <v>117</v>
      </c>
      <c r="E13">
        <v>16</v>
      </c>
      <c r="F13">
        <v>27</v>
      </c>
      <c r="G13">
        <v>9</v>
      </c>
      <c r="H13">
        <v>28</v>
      </c>
      <c r="I13">
        <f>vhodni_podatki__1[[#This Row],[HTML]]+vhodni_podatki__1[[#This Row],[LaTeX]]+vhodni_podatki__1[[#This Row],[Excel]]+vhodni_podatki__1[[#This Row],[Mathematica]]</f>
        <v>80</v>
      </c>
      <c r="J13" cm="1">
        <f t="array" ref="J1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  <c r="K13" s="3">
        <v>5</v>
      </c>
      <c r="L13" s="1">
        <v>4</v>
      </c>
      <c r="M13" s="1">
        <v>2</v>
      </c>
      <c r="N13" s="1">
        <v>7</v>
      </c>
      <c r="O13" s="1">
        <v>11</v>
      </c>
      <c r="P13" s="1">
        <v>3</v>
      </c>
      <c r="Q13" s="1">
        <v>27</v>
      </c>
    </row>
    <row r="14" spans="1:17" x14ac:dyDescent="0.3">
      <c r="A14">
        <v>27242208</v>
      </c>
      <c r="B14" s="1" t="s">
        <v>11</v>
      </c>
      <c r="C14" s="1" t="s">
        <v>62</v>
      </c>
      <c r="D14" s="1" t="s">
        <v>63</v>
      </c>
      <c r="E14">
        <v>17</v>
      </c>
      <c r="F14">
        <v>34</v>
      </c>
      <c r="G14">
        <v>12</v>
      </c>
      <c r="H14">
        <v>28</v>
      </c>
      <c r="I14">
        <f>vhodni_podatki__1[[#This Row],[HTML]]+vhodni_podatki__1[[#This Row],[LaTeX]]+vhodni_podatki__1[[#This Row],[Excel]]+vhodni_podatki__1[[#This Row],[Mathematica]]</f>
        <v>91</v>
      </c>
      <c r="J14" cm="1">
        <f t="array" ref="J1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  <c r="K14" s="3">
        <v>6</v>
      </c>
      <c r="L14" s="1"/>
      <c r="M14" s="1">
        <v>1</v>
      </c>
      <c r="N14" s="1">
        <v>6</v>
      </c>
      <c r="O14" s="1">
        <v>2</v>
      </c>
      <c r="P14" s="1"/>
      <c r="Q14" s="1">
        <v>9</v>
      </c>
    </row>
    <row r="15" spans="1:17" x14ac:dyDescent="0.3">
      <c r="A15">
        <v>27242642</v>
      </c>
      <c r="B15" s="1" t="s">
        <v>8</v>
      </c>
      <c r="C15" s="1" t="s">
        <v>97</v>
      </c>
      <c r="D15" s="1" t="s">
        <v>162</v>
      </c>
      <c r="E15">
        <v>19</v>
      </c>
      <c r="F15">
        <v>37</v>
      </c>
      <c r="G15">
        <v>12</v>
      </c>
      <c r="H15">
        <v>32</v>
      </c>
      <c r="I15">
        <f>vhodni_podatki__1[[#This Row],[HTML]]+vhodni_podatki__1[[#This Row],[LaTeX]]+vhodni_podatki__1[[#This Row],[Excel]]+vhodni_podatki__1[[#This Row],[Mathematica]]</f>
        <v>100</v>
      </c>
      <c r="J15" cm="1">
        <f t="array" ref="J1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  <c r="K15" s="3">
        <v>7</v>
      </c>
      <c r="L15" s="1"/>
      <c r="M15" s="1">
        <v>1</v>
      </c>
      <c r="N15" s="1">
        <v>5</v>
      </c>
      <c r="O15" s="1">
        <v>7</v>
      </c>
      <c r="P15" s="1"/>
      <c r="Q15" s="1">
        <v>13</v>
      </c>
    </row>
    <row r="16" spans="1:17" x14ac:dyDescent="0.3">
      <c r="A16">
        <v>27242369</v>
      </c>
      <c r="B16" s="1" t="s">
        <v>8</v>
      </c>
      <c r="C16" s="1" t="s">
        <v>97</v>
      </c>
      <c r="D16" s="1" t="s">
        <v>98</v>
      </c>
      <c r="E16">
        <v>20</v>
      </c>
      <c r="F16">
        <v>24</v>
      </c>
      <c r="G16">
        <v>0</v>
      </c>
      <c r="H16">
        <v>18</v>
      </c>
      <c r="I16">
        <f>vhodni_podatki__1[[#This Row],[HTML]]+vhodni_podatki__1[[#This Row],[LaTeX]]+vhodni_podatki__1[[#This Row],[Excel]]+vhodni_podatki__1[[#This Row],[Mathematica]]</f>
        <v>62</v>
      </c>
      <c r="J16" cm="1">
        <f t="array" ref="J1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  <c r="K16" s="3">
        <v>8</v>
      </c>
      <c r="L16" s="1"/>
      <c r="M16" s="1"/>
      <c r="N16" s="1">
        <v>14</v>
      </c>
      <c r="O16" s="1">
        <v>3</v>
      </c>
      <c r="P16" s="1">
        <v>2</v>
      </c>
      <c r="Q16" s="1">
        <v>19</v>
      </c>
    </row>
    <row r="17" spans="1:17" x14ac:dyDescent="0.3">
      <c r="A17">
        <v>27242843</v>
      </c>
      <c r="B17" s="1" t="s">
        <v>8</v>
      </c>
      <c r="C17" s="1" t="s">
        <v>199</v>
      </c>
      <c r="D17" s="1" t="s">
        <v>118</v>
      </c>
      <c r="E17">
        <v>7</v>
      </c>
      <c r="F17">
        <v>20</v>
      </c>
      <c r="G17">
        <v>12</v>
      </c>
      <c r="H17">
        <v>21</v>
      </c>
      <c r="I17">
        <f>vhodni_podatki__1[[#This Row],[HTML]]+vhodni_podatki__1[[#This Row],[LaTeX]]+vhodni_podatki__1[[#This Row],[Excel]]+vhodni_podatki__1[[#This Row],[Mathematica]]</f>
        <v>60</v>
      </c>
      <c r="J17" cm="1">
        <f t="array" ref="J1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  <c r="K17" s="3">
        <v>9</v>
      </c>
      <c r="L17" s="1"/>
      <c r="M17" s="1">
        <v>1</v>
      </c>
      <c r="N17" s="1">
        <v>10</v>
      </c>
      <c r="O17" s="1">
        <v>6</v>
      </c>
      <c r="P17" s="1">
        <v>4</v>
      </c>
      <c r="Q17" s="1">
        <v>21</v>
      </c>
    </row>
    <row r="18" spans="1:17" x14ac:dyDescent="0.3">
      <c r="A18">
        <v>27242393</v>
      </c>
      <c r="B18" s="1" t="s">
        <v>8</v>
      </c>
      <c r="C18" s="1" t="s">
        <v>109</v>
      </c>
      <c r="D18" s="1" t="s">
        <v>110</v>
      </c>
      <c r="E18">
        <v>13</v>
      </c>
      <c r="F18">
        <v>18</v>
      </c>
      <c r="G18">
        <v>0</v>
      </c>
      <c r="H18">
        <v>28</v>
      </c>
      <c r="I18">
        <f>vhodni_podatki__1[[#This Row],[HTML]]+vhodni_podatki__1[[#This Row],[LaTeX]]+vhodni_podatki__1[[#This Row],[Excel]]+vhodni_podatki__1[[#This Row],[Mathematica]]</f>
        <v>59</v>
      </c>
      <c r="J18" cm="1">
        <f t="array" ref="J1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6</v>
      </c>
      <c r="K18" s="3">
        <v>10</v>
      </c>
      <c r="L18" s="1"/>
      <c r="M18" s="1">
        <v>3</v>
      </c>
      <c r="N18" s="1">
        <v>16</v>
      </c>
      <c r="O18" s="1">
        <v>25</v>
      </c>
      <c r="P18" s="1">
        <v>1</v>
      </c>
      <c r="Q18" s="1">
        <v>45</v>
      </c>
    </row>
    <row r="19" spans="1:17" x14ac:dyDescent="0.3">
      <c r="A19">
        <v>27242249</v>
      </c>
      <c r="B19" s="1" t="s">
        <v>67</v>
      </c>
      <c r="C19" s="1" t="s">
        <v>68</v>
      </c>
      <c r="D19" s="1" t="s">
        <v>69</v>
      </c>
      <c r="E19">
        <v>14</v>
      </c>
      <c r="F19">
        <v>32</v>
      </c>
      <c r="G19">
        <v>12</v>
      </c>
      <c r="H19">
        <v>29</v>
      </c>
      <c r="I19">
        <f>vhodni_podatki__1[[#This Row],[HTML]]+vhodni_podatki__1[[#This Row],[LaTeX]]+vhodni_podatki__1[[#This Row],[Excel]]+vhodni_podatki__1[[#This Row],[Mathematica]]</f>
        <v>87</v>
      </c>
      <c r="J19" cm="1">
        <f t="array" ref="J1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  <c r="K19" s="3" t="s">
        <v>244</v>
      </c>
      <c r="L19" s="1">
        <v>4</v>
      </c>
      <c r="M19" s="1">
        <v>8</v>
      </c>
      <c r="N19" s="1">
        <v>58</v>
      </c>
      <c r="O19" s="1">
        <v>54</v>
      </c>
      <c r="P19" s="1">
        <v>10</v>
      </c>
      <c r="Q19" s="1">
        <v>134</v>
      </c>
    </row>
    <row r="20" spans="1:17" x14ac:dyDescent="0.3">
      <c r="A20">
        <v>27242595</v>
      </c>
      <c r="B20" s="1" t="s">
        <v>67</v>
      </c>
      <c r="C20" s="1" t="s">
        <v>91</v>
      </c>
      <c r="D20" s="1" t="s">
        <v>153</v>
      </c>
      <c r="E20">
        <v>8</v>
      </c>
      <c r="F20">
        <v>26</v>
      </c>
      <c r="G20">
        <v>1</v>
      </c>
      <c r="H20">
        <v>0</v>
      </c>
      <c r="I20">
        <f>vhodni_podatki__1[[#This Row],[HTML]]+vhodni_podatki__1[[#This Row],[LaTeX]]+vhodni_podatki__1[[#This Row],[Excel]]+vhodni_podatki__1[[#This Row],[Mathematica]]</f>
        <v>35</v>
      </c>
      <c r="J20" cm="1">
        <f t="array" ref="J2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21" spans="1:17" x14ac:dyDescent="0.3">
      <c r="A21">
        <v>27242340</v>
      </c>
      <c r="B21" s="1" t="s">
        <v>16</v>
      </c>
      <c r="C21" s="1" t="s">
        <v>91</v>
      </c>
      <c r="D21" s="1" t="s">
        <v>92</v>
      </c>
      <c r="E21">
        <v>20</v>
      </c>
      <c r="F21">
        <v>17</v>
      </c>
      <c r="G21">
        <v>0</v>
      </c>
      <c r="H21">
        <v>27</v>
      </c>
      <c r="I21">
        <f>vhodni_podatki__1[[#This Row],[HTML]]+vhodni_podatki__1[[#This Row],[LaTeX]]+vhodni_podatki__1[[#This Row],[Excel]]+vhodni_podatki__1[[#This Row],[Mathematica]]</f>
        <v>64</v>
      </c>
      <c r="J21" cm="1">
        <f t="array" ref="J2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22" spans="1:17" x14ac:dyDescent="0.3">
      <c r="A22">
        <v>28242382</v>
      </c>
      <c r="B22" s="1" t="s">
        <v>236</v>
      </c>
      <c r="C22" s="1" t="s">
        <v>239</v>
      </c>
      <c r="D22" s="1" t="s">
        <v>240</v>
      </c>
      <c r="E22">
        <v>0</v>
      </c>
      <c r="F22">
        <v>0</v>
      </c>
      <c r="G22">
        <v>0</v>
      </c>
      <c r="H22">
        <v>0</v>
      </c>
      <c r="I22">
        <f>vhodni_podatki__1[[#This Row],[HTML]]+vhodni_podatki__1[[#This Row],[LaTeX]]+vhodni_podatki__1[[#This Row],[Excel]]+vhodni_podatki__1[[#This Row],[Mathematica]]</f>
        <v>0</v>
      </c>
      <c r="J22" cm="1">
        <f t="array" ref="J2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23" spans="1:17" x14ac:dyDescent="0.3">
      <c r="A23">
        <v>27242865</v>
      </c>
      <c r="B23" s="1" t="s">
        <v>8</v>
      </c>
      <c r="C23" s="1" t="s">
        <v>200</v>
      </c>
      <c r="D23" s="1" t="s">
        <v>201</v>
      </c>
      <c r="E23">
        <v>19</v>
      </c>
      <c r="F23">
        <v>31</v>
      </c>
      <c r="G23">
        <v>12</v>
      </c>
      <c r="H23">
        <v>32</v>
      </c>
      <c r="I23">
        <f>vhodni_podatki__1[[#This Row],[HTML]]+vhodni_podatki__1[[#This Row],[LaTeX]]+vhodni_podatki__1[[#This Row],[Excel]]+vhodni_podatki__1[[#This Row],[Mathematica]]</f>
        <v>94</v>
      </c>
      <c r="J23" cm="1">
        <f t="array" ref="J2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24" spans="1:17" x14ac:dyDescent="0.3">
      <c r="A24">
        <v>27242476</v>
      </c>
      <c r="B24" s="1" t="s">
        <v>11</v>
      </c>
      <c r="C24" s="1" t="s">
        <v>126</v>
      </c>
      <c r="D24" s="1" t="s">
        <v>127</v>
      </c>
      <c r="E24">
        <v>0</v>
      </c>
      <c r="F24">
        <v>0</v>
      </c>
      <c r="G24">
        <v>0</v>
      </c>
      <c r="H24">
        <v>0</v>
      </c>
      <c r="I24">
        <f>vhodni_podatki__1[[#This Row],[HTML]]+vhodni_podatki__1[[#This Row],[LaTeX]]+vhodni_podatki__1[[#This Row],[Excel]]+vhodni_podatki__1[[#This Row],[Mathematica]]</f>
        <v>0</v>
      </c>
      <c r="J24" cm="1">
        <f t="array" ref="J2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25" spans="1:17" x14ac:dyDescent="0.3">
      <c r="A25">
        <v>27242789</v>
      </c>
      <c r="B25" s="1" t="s">
        <v>8</v>
      </c>
      <c r="C25" s="1" t="s">
        <v>190</v>
      </c>
      <c r="D25" s="1" t="s">
        <v>191</v>
      </c>
      <c r="E25">
        <v>16</v>
      </c>
      <c r="F25">
        <v>31</v>
      </c>
      <c r="G25">
        <v>7</v>
      </c>
      <c r="H25">
        <v>30</v>
      </c>
      <c r="I25">
        <f>vhodni_podatki__1[[#This Row],[HTML]]+vhodni_podatki__1[[#This Row],[LaTeX]]+vhodni_podatki__1[[#This Row],[Excel]]+vhodni_podatki__1[[#This Row],[Mathematica]]</f>
        <v>84</v>
      </c>
      <c r="J25" cm="1">
        <f t="array" ref="J2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26" spans="1:17" x14ac:dyDescent="0.3">
      <c r="A26">
        <v>27242636</v>
      </c>
      <c r="B26" s="1" t="s">
        <v>11</v>
      </c>
      <c r="C26" s="1" t="s">
        <v>49</v>
      </c>
      <c r="D26" s="1" t="s">
        <v>161</v>
      </c>
      <c r="E26">
        <v>17</v>
      </c>
      <c r="F26">
        <v>29</v>
      </c>
      <c r="G26">
        <v>12</v>
      </c>
      <c r="H26">
        <v>24</v>
      </c>
      <c r="I26">
        <f>vhodni_podatki__1[[#This Row],[HTML]]+vhodni_podatki__1[[#This Row],[LaTeX]]+vhodni_podatki__1[[#This Row],[Excel]]+vhodni_podatki__1[[#This Row],[Mathematica]]</f>
        <v>82</v>
      </c>
      <c r="J26" cm="1">
        <f t="array" ref="J2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27" spans="1:17" x14ac:dyDescent="0.3">
      <c r="A27">
        <v>27242158</v>
      </c>
      <c r="B27" s="1" t="s">
        <v>8</v>
      </c>
      <c r="C27" s="1" t="s">
        <v>49</v>
      </c>
      <c r="D27" s="1" t="s">
        <v>50</v>
      </c>
      <c r="E27">
        <v>19</v>
      </c>
      <c r="F27">
        <v>28</v>
      </c>
      <c r="G27">
        <v>12</v>
      </c>
      <c r="H27">
        <v>26</v>
      </c>
      <c r="I27">
        <f>vhodni_podatki__1[[#This Row],[HTML]]+vhodni_podatki__1[[#This Row],[LaTeX]]+vhodni_podatki__1[[#This Row],[Excel]]+vhodni_podatki__1[[#This Row],[Mathematica]]</f>
        <v>85</v>
      </c>
      <c r="J27" cm="1">
        <f t="array" ref="J2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28" spans="1:17" x14ac:dyDescent="0.3">
      <c r="A28">
        <v>28242160</v>
      </c>
      <c r="B28" s="1" t="s">
        <v>236</v>
      </c>
      <c r="C28" s="1" t="s">
        <v>14</v>
      </c>
      <c r="D28" s="1" t="s">
        <v>226</v>
      </c>
      <c r="E28">
        <v>18</v>
      </c>
      <c r="F28">
        <v>16</v>
      </c>
      <c r="G28">
        <v>12</v>
      </c>
      <c r="H28">
        <v>0</v>
      </c>
      <c r="I28">
        <f>vhodni_podatki__1[[#This Row],[HTML]]+vhodni_podatki__1[[#This Row],[LaTeX]]+vhodni_podatki__1[[#This Row],[Excel]]+vhodni_podatki__1[[#This Row],[Mathematica]]</f>
        <v>46</v>
      </c>
      <c r="J28" cm="1">
        <f t="array" ref="J2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29" spans="1:17" x14ac:dyDescent="0.3">
      <c r="A29">
        <v>27242016</v>
      </c>
      <c r="B29" s="1" t="s">
        <v>11</v>
      </c>
      <c r="C29" s="1" t="s">
        <v>14</v>
      </c>
      <c r="D29" s="1" t="s">
        <v>15</v>
      </c>
      <c r="E29">
        <v>15</v>
      </c>
      <c r="F29">
        <v>0</v>
      </c>
      <c r="G29">
        <v>12</v>
      </c>
      <c r="H29">
        <v>24</v>
      </c>
      <c r="I29">
        <f>vhodni_podatki__1[[#This Row],[HTML]]+vhodni_podatki__1[[#This Row],[LaTeX]]+vhodni_podatki__1[[#This Row],[Excel]]+vhodni_podatki__1[[#This Row],[Mathematica]]</f>
        <v>51</v>
      </c>
      <c r="J29" cm="1">
        <f t="array" ref="J2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6</v>
      </c>
    </row>
    <row r="30" spans="1:17" x14ac:dyDescent="0.3">
      <c r="A30">
        <v>27242358</v>
      </c>
      <c r="B30" s="1" t="s">
        <v>8</v>
      </c>
      <c r="C30" s="1" t="s">
        <v>93</v>
      </c>
      <c r="D30" s="1" t="s">
        <v>94</v>
      </c>
      <c r="E30">
        <v>11</v>
      </c>
      <c r="F30">
        <v>22</v>
      </c>
      <c r="G30">
        <v>1</v>
      </c>
      <c r="H30">
        <v>25</v>
      </c>
      <c r="I30">
        <f>vhodni_podatki__1[[#This Row],[HTML]]+vhodni_podatki__1[[#This Row],[LaTeX]]+vhodni_podatki__1[[#This Row],[Excel]]+vhodni_podatki__1[[#This Row],[Mathematica]]</f>
        <v>59</v>
      </c>
      <c r="J30" cm="1">
        <f t="array" ref="J3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6</v>
      </c>
    </row>
    <row r="31" spans="1:17" x14ac:dyDescent="0.3">
      <c r="A31">
        <v>27242100</v>
      </c>
      <c r="B31" s="1" t="s">
        <v>11</v>
      </c>
      <c r="C31" s="1" t="s">
        <v>35</v>
      </c>
      <c r="D31" s="1" t="s">
        <v>36</v>
      </c>
      <c r="E31">
        <v>5</v>
      </c>
      <c r="F31">
        <v>33</v>
      </c>
      <c r="G31">
        <v>12</v>
      </c>
      <c r="H31">
        <v>15</v>
      </c>
      <c r="I31">
        <f>vhodni_podatki__1[[#This Row],[HTML]]+vhodni_podatki__1[[#This Row],[LaTeX]]+vhodni_podatki__1[[#This Row],[Excel]]+vhodni_podatki__1[[#This Row],[Mathematica]]</f>
        <v>65</v>
      </c>
      <c r="J31" cm="1">
        <f t="array" ref="J3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32" spans="1:17" x14ac:dyDescent="0.3">
      <c r="A32">
        <v>27242293</v>
      </c>
      <c r="B32" s="1" t="s">
        <v>8</v>
      </c>
      <c r="C32" s="1" t="s">
        <v>35</v>
      </c>
      <c r="D32" s="1" t="s">
        <v>78</v>
      </c>
      <c r="E32">
        <v>18</v>
      </c>
      <c r="F32">
        <v>35</v>
      </c>
      <c r="G32">
        <v>12</v>
      </c>
      <c r="H32">
        <v>32</v>
      </c>
      <c r="I32">
        <f>vhodni_podatki__1[[#This Row],[HTML]]+vhodni_podatki__1[[#This Row],[LaTeX]]+vhodni_podatki__1[[#This Row],[Excel]]+vhodni_podatki__1[[#This Row],[Mathematica]]</f>
        <v>97</v>
      </c>
      <c r="J32" cm="1">
        <f t="array" ref="J3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33" spans="1:10" x14ac:dyDescent="0.3">
      <c r="A33">
        <v>27242599</v>
      </c>
      <c r="B33" s="1" t="s">
        <v>8</v>
      </c>
      <c r="C33" s="1" t="s">
        <v>155</v>
      </c>
      <c r="D33" s="1" t="s">
        <v>156</v>
      </c>
      <c r="E33">
        <v>18</v>
      </c>
      <c r="F33">
        <v>23</v>
      </c>
      <c r="G33">
        <v>7</v>
      </c>
      <c r="H33">
        <v>31</v>
      </c>
      <c r="I33">
        <f>vhodni_podatki__1[[#This Row],[HTML]]+vhodni_podatki__1[[#This Row],[LaTeX]]+vhodni_podatki__1[[#This Row],[Excel]]+vhodni_podatki__1[[#This Row],[Mathematica]]</f>
        <v>79</v>
      </c>
      <c r="J33" cm="1">
        <f t="array" ref="J3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34" spans="1:10" x14ac:dyDescent="0.3">
      <c r="A34">
        <v>27242658</v>
      </c>
      <c r="B34" s="1" t="s">
        <v>8</v>
      </c>
      <c r="C34" s="1" t="s">
        <v>165</v>
      </c>
      <c r="D34" s="1" t="s">
        <v>166</v>
      </c>
      <c r="E34">
        <v>17</v>
      </c>
      <c r="F34">
        <v>36</v>
      </c>
      <c r="G34">
        <v>12</v>
      </c>
      <c r="H34">
        <v>30</v>
      </c>
      <c r="I34">
        <f>vhodni_podatki__1[[#This Row],[HTML]]+vhodni_podatki__1[[#This Row],[LaTeX]]+vhodni_podatki__1[[#This Row],[Excel]]+vhodni_podatki__1[[#This Row],[Mathematica]]</f>
        <v>95</v>
      </c>
      <c r="J34" cm="1">
        <f t="array" ref="J3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35" spans="1:10" x14ac:dyDescent="0.3">
      <c r="A35">
        <v>27242690</v>
      </c>
      <c r="B35" s="1" t="s">
        <v>11</v>
      </c>
      <c r="C35" s="1" t="s">
        <v>173</v>
      </c>
      <c r="D35" s="1" t="s">
        <v>174</v>
      </c>
      <c r="E35">
        <v>0</v>
      </c>
      <c r="F35">
        <v>0</v>
      </c>
      <c r="G35">
        <v>0</v>
      </c>
      <c r="H35">
        <v>0</v>
      </c>
      <c r="I35">
        <f>vhodni_podatki__1[[#This Row],[HTML]]+vhodni_podatki__1[[#This Row],[LaTeX]]+vhodni_podatki__1[[#This Row],[Excel]]+vhodni_podatki__1[[#This Row],[Mathematica]]</f>
        <v>0</v>
      </c>
      <c r="J35" cm="1">
        <f t="array" ref="J3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36" spans="1:10" x14ac:dyDescent="0.3">
      <c r="A36">
        <v>27242384</v>
      </c>
      <c r="B36" s="1" t="s">
        <v>16</v>
      </c>
      <c r="C36" s="1" t="s">
        <v>105</v>
      </c>
      <c r="D36" s="1" t="s">
        <v>106</v>
      </c>
      <c r="E36">
        <v>19</v>
      </c>
      <c r="F36">
        <v>0</v>
      </c>
      <c r="G36">
        <v>12</v>
      </c>
      <c r="H36">
        <v>22</v>
      </c>
      <c r="I36">
        <f>vhodni_podatki__1[[#This Row],[HTML]]+vhodni_podatki__1[[#This Row],[LaTeX]]+vhodni_podatki__1[[#This Row],[Excel]]+vhodni_podatki__1[[#This Row],[Mathematica]]</f>
        <v>53</v>
      </c>
      <c r="J36" cm="1">
        <f t="array" ref="J3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6</v>
      </c>
    </row>
    <row r="37" spans="1:10" x14ac:dyDescent="0.3">
      <c r="A37">
        <v>27242957</v>
      </c>
      <c r="B37" s="1" t="s">
        <v>11</v>
      </c>
      <c r="C37" s="1" t="s">
        <v>223</v>
      </c>
      <c r="D37" s="1" t="s">
        <v>224</v>
      </c>
      <c r="E37">
        <v>18</v>
      </c>
      <c r="F37">
        <v>35</v>
      </c>
      <c r="G37">
        <v>12</v>
      </c>
      <c r="H37">
        <v>26</v>
      </c>
      <c r="I37">
        <f>vhodni_podatki__1[[#This Row],[HTML]]+vhodni_podatki__1[[#This Row],[LaTeX]]+vhodni_podatki__1[[#This Row],[Excel]]+vhodni_podatki__1[[#This Row],[Mathematica]]</f>
        <v>91</v>
      </c>
      <c r="J37" cm="1">
        <f t="array" ref="J3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38" spans="1:10" x14ac:dyDescent="0.3">
      <c r="A38">
        <v>27242797</v>
      </c>
      <c r="B38" s="1" t="s">
        <v>11</v>
      </c>
      <c r="C38" s="1" t="s">
        <v>19</v>
      </c>
      <c r="D38" s="1" t="s">
        <v>192</v>
      </c>
      <c r="E38">
        <v>19</v>
      </c>
      <c r="F38">
        <v>34</v>
      </c>
      <c r="G38">
        <v>12</v>
      </c>
      <c r="H38">
        <v>15</v>
      </c>
      <c r="I38">
        <f>vhodni_podatki__1[[#This Row],[HTML]]+vhodni_podatki__1[[#This Row],[LaTeX]]+vhodni_podatki__1[[#This Row],[Excel]]+vhodni_podatki__1[[#This Row],[Mathematica]]</f>
        <v>80</v>
      </c>
      <c r="J38" cm="1">
        <f t="array" ref="J3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39" spans="1:10" x14ac:dyDescent="0.3">
      <c r="A39">
        <v>27242025</v>
      </c>
      <c r="B39" s="1" t="s">
        <v>8</v>
      </c>
      <c r="C39" s="1" t="s">
        <v>19</v>
      </c>
      <c r="D39" s="1" t="s">
        <v>20</v>
      </c>
      <c r="E39">
        <v>19</v>
      </c>
      <c r="F39">
        <v>20</v>
      </c>
      <c r="G39">
        <v>0</v>
      </c>
      <c r="H39">
        <v>21</v>
      </c>
      <c r="I39">
        <f>vhodni_podatki__1[[#This Row],[HTML]]+vhodni_podatki__1[[#This Row],[LaTeX]]+vhodni_podatki__1[[#This Row],[Excel]]+vhodni_podatki__1[[#This Row],[Mathematica]]</f>
        <v>60</v>
      </c>
      <c r="J39" cm="1">
        <f t="array" ref="J3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40" spans="1:10" x14ac:dyDescent="0.3">
      <c r="A40">
        <v>27242462</v>
      </c>
      <c r="B40" s="1" t="s">
        <v>8</v>
      </c>
      <c r="C40" s="1" t="s">
        <v>122</v>
      </c>
      <c r="D40" s="1" t="s">
        <v>123</v>
      </c>
      <c r="E40">
        <v>18</v>
      </c>
      <c r="F40">
        <v>33</v>
      </c>
      <c r="G40">
        <v>12</v>
      </c>
      <c r="H40">
        <v>32</v>
      </c>
      <c r="I40">
        <f>vhodni_podatki__1[[#This Row],[HTML]]+vhodni_podatki__1[[#This Row],[LaTeX]]+vhodni_podatki__1[[#This Row],[Excel]]+vhodni_podatki__1[[#This Row],[Mathematica]]</f>
        <v>95</v>
      </c>
      <c r="J40" cm="1">
        <f t="array" ref="J4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41" spans="1:10" x14ac:dyDescent="0.3">
      <c r="A41">
        <v>27242990</v>
      </c>
      <c r="B41" s="1" t="s">
        <v>11</v>
      </c>
      <c r="C41" s="1" t="s">
        <v>233</v>
      </c>
      <c r="D41" s="1" t="s">
        <v>234</v>
      </c>
      <c r="E41">
        <v>17</v>
      </c>
      <c r="F41">
        <v>36</v>
      </c>
      <c r="G41">
        <v>12</v>
      </c>
      <c r="H41">
        <v>30</v>
      </c>
      <c r="I41">
        <f>vhodni_podatki__1[[#This Row],[HTML]]+vhodni_podatki__1[[#This Row],[LaTeX]]+vhodni_podatki__1[[#This Row],[Excel]]+vhodni_podatki__1[[#This Row],[Mathematica]]</f>
        <v>95</v>
      </c>
      <c r="J41" cm="1">
        <f t="array" ref="J4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42" spans="1:10" x14ac:dyDescent="0.3">
      <c r="A42">
        <v>27242007</v>
      </c>
      <c r="B42" s="1" t="s">
        <v>8</v>
      </c>
      <c r="C42" s="1" t="s">
        <v>9</v>
      </c>
      <c r="D42" s="1" t="s">
        <v>10</v>
      </c>
      <c r="E42">
        <v>8</v>
      </c>
      <c r="F42">
        <v>3</v>
      </c>
      <c r="G42">
        <v>0</v>
      </c>
      <c r="H42">
        <v>0</v>
      </c>
      <c r="I42">
        <f>vhodni_podatki__1[[#This Row],[HTML]]+vhodni_podatki__1[[#This Row],[LaTeX]]+vhodni_podatki__1[[#This Row],[Excel]]+vhodni_podatki__1[[#This Row],[Mathematica]]</f>
        <v>11</v>
      </c>
      <c r="J42" cm="1">
        <f t="array" ref="J4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43" spans="1:10" x14ac:dyDescent="0.3">
      <c r="A43">
        <v>27242572</v>
      </c>
      <c r="B43" s="1" t="s">
        <v>8</v>
      </c>
      <c r="C43" s="1" t="s">
        <v>146</v>
      </c>
      <c r="D43" s="1" t="s">
        <v>147</v>
      </c>
      <c r="E43">
        <v>16</v>
      </c>
      <c r="F43">
        <v>9</v>
      </c>
      <c r="G43">
        <v>0</v>
      </c>
      <c r="H43">
        <v>13</v>
      </c>
      <c r="I43">
        <f>vhodni_podatki__1[[#This Row],[HTML]]+vhodni_podatki__1[[#This Row],[LaTeX]]+vhodni_podatki__1[[#This Row],[Excel]]+vhodni_podatki__1[[#This Row],[Mathematica]]</f>
        <v>38</v>
      </c>
      <c r="J43" cm="1">
        <f t="array" ref="J4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44" spans="1:10" x14ac:dyDescent="0.3">
      <c r="A44">
        <v>27242686</v>
      </c>
      <c r="B44" s="1" t="s">
        <v>11</v>
      </c>
      <c r="C44" s="1" t="s">
        <v>171</v>
      </c>
      <c r="D44" s="1" t="s">
        <v>172</v>
      </c>
      <c r="E44">
        <v>15</v>
      </c>
      <c r="F44">
        <v>19</v>
      </c>
      <c r="G44">
        <v>12</v>
      </c>
      <c r="H44">
        <v>26</v>
      </c>
      <c r="I44">
        <f>vhodni_podatki__1[[#This Row],[HTML]]+vhodni_podatki__1[[#This Row],[LaTeX]]+vhodni_podatki__1[[#This Row],[Excel]]+vhodni_podatki__1[[#This Row],[Mathematica]]</f>
        <v>72</v>
      </c>
      <c r="J44" cm="1">
        <f t="array" ref="J4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45" spans="1:10" x14ac:dyDescent="0.3">
      <c r="A45">
        <v>27242949</v>
      </c>
      <c r="B45" s="1" t="s">
        <v>67</v>
      </c>
      <c r="C45" s="1" t="s">
        <v>33</v>
      </c>
      <c r="D45" s="1" t="s">
        <v>222</v>
      </c>
      <c r="E45">
        <v>6</v>
      </c>
      <c r="F45">
        <v>12</v>
      </c>
      <c r="G45">
        <v>6</v>
      </c>
      <c r="H45">
        <v>0</v>
      </c>
      <c r="I45">
        <f>vhodni_podatki__1[[#This Row],[HTML]]+vhodni_podatki__1[[#This Row],[LaTeX]]+vhodni_podatki__1[[#This Row],[Excel]]+vhodni_podatki__1[[#This Row],[Mathematica]]</f>
        <v>24</v>
      </c>
      <c r="J45" cm="1">
        <f t="array" ref="J4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46" spans="1:10" x14ac:dyDescent="0.3">
      <c r="A46">
        <v>27242092</v>
      </c>
      <c r="B46" s="1" t="s">
        <v>11</v>
      </c>
      <c r="C46" s="1" t="s">
        <v>33</v>
      </c>
      <c r="D46" s="1" t="s">
        <v>34</v>
      </c>
      <c r="E46">
        <v>18</v>
      </c>
      <c r="F46">
        <v>23</v>
      </c>
      <c r="G46">
        <v>0</v>
      </c>
      <c r="H46">
        <v>19</v>
      </c>
      <c r="I46">
        <f>vhodni_podatki__1[[#This Row],[HTML]]+vhodni_podatki__1[[#This Row],[LaTeX]]+vhodni_podatki__1[[#This Row],[Excel]]+vhodni_podatki__1[[#This Row],[Mathematica]]</f>
        <v>60</v>
      </c>
      <c r="J46" cm="1">
        <f t="array" ref="J4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47" spans="1:10" x14ac:dyDescent="0.3">
      <c r="A47">
        <v>27242256</v>
      </c>
      <c r="B47" s="1" t="s">
        <v>11</v>
      </c>
      <c r="C47" s="1" t="s">
        <v>74</v>
      </c>
      <c r="D47" s="1" t="s">
        <v>75</v>
      </c>
      <c r="E47">
        <v>19</v>
      </c>
      <c r="F47">
        <v>36</v>
      </c>
      <c r="G47">
        <v>12</v>
      </c>
      <c r="H47">
        <v>28</v>
      </c>
      <c r="I47">
        <f>vhodni_podatki__1[[#This Row],[HTML]]+vhodni_podatki__1[[#This Row],[LaTeX]]+vhodni_podatki__1[[#This Row],[Excel]]+vhodni_podatki__1[[#This Row],[Mathematica]]</f>
        <v>95</v>
      </c>
      <c r="J47" cm="1">
        <f t="array" ref="J4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48" spans="1:10" x14ac:dyDescent="0.3">
      <c r="A48">
        <v>27242607</v>
      </c>
      <c r="B48" s="1" t="s">
        <v>11</v>
      </c>
      <c r="C48" s="1" t="s">
        <v>157</v>
      </c>
      <c r="D48" s="1" t="s">
        <v>158</v>
      </c>
      <c r="E48">
        <v>19</v>
      </c>
      <c r="F48">
        <v>33</v>
      </c>
      <c r="G48">
        <v>8</v>
      </c>
      <c r="H48">
        <v>23</v>
      </c>
      <c r="I48">
        <f>vhodni_podatki__1[[#This Row],[HTML]]+vhodni_podatki__1[[#This Row],[LaTeX]]+vhodni_podatki__1[[#This Row],[Excel]]+vhodni_podatki__1[[#This Row],[Mathematica]]</f>
        <v>83</v>
      </c>
      <c r="J48" cm="1">
        <f t="array" ref="J4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49" spans="1:10" x14ac:dyDescent="0.3">
      <c r="A49">
        <v>27242392</v>
      </c>
      <c r="B49" s="1" t="s">
        <v>8</v>
      </c>
      <c r="C49" s="1" t="s">
        <v>107</v>
      </c>
      <c r="D49" s="1" t="s">
        <v>108</v>
      </c>
      <c r="E49">
        <v>19</v>
      </c>
      <c r="F49">
        <v>36</v>
      </c>
      <c r="G49">
        <v>12</v>
      </c>
      <c r="H49">
        <v>32</v>
      </c>
      <c r="I49">
        <f>vhodni_podatki__1[[#This Row],[HTML]]+vhodni_podatki__1[[#This Row],[LaTeX]]+vhodni_podatki__1[[#This Row],[Excel]]+vhodni_podatki__1[[#This Row],[Mathematica]]</f>
        <v>99</v>
      </c>
      <c r="J49" cm="1">
        <f t="array" ref="J4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50" spans="1:10" x14ac:dyDescent="0.3">
      <c r="A50">
        <v>27242070</v>
      </c>
      <c r="B50" s="1" t="s">
        <v>16</v>
      </c>
      <c r="C50" s="1" t="s">
        <v>27</v>
      </c>
      <c r="D50" s="1" t="s">
        <v>28</v>
      </c>
      <c r="E50">
        <v>19</v>
      </c>
      <c r="F50">
        <v>33</v>
      </c>
      <c r="G50">
        <v>12</v>
      </c>
      <c r="H50">
        <v>28</v>
      </c>
      <c r="I50">
        <f>vhodni_podatki__1[[#This Row],[HTML]]+vhodni_podatki__1[[#This Row],[LaTeX]]+vhodni_podatki__1[[#This Row],[Excel]]+vhodni_podatki__1[[#This Row],[Mathematica]]</f>
        <v>92</v>
      </c>
      <c r="J50" cm="1">
        <f t="array" ref="J5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51" spans="1:10" x14ac:dyDescent="0.3">
      <c r="A51">
        <v>27242197</v>
      </c>
      <c r="B51" s="1" t="s">
        <v>8</v>
      </c>
      <c r="C51" s="1" t="s">
        <v>27</v>
      </c>
      <c r="D51" s="1" t="s">
        <v>61</v>
      </c>
      <c r="E51">
        <v>18</v>
      </c>
      <c r="F51">
        <v>36</v>
      </c>
      <c r="G51">
        <v>12</v>
      </c>
      <c r="H51">
        <v>31</v>
      </c>
      <c r="I51">
        <f>vhodni_podatki__1[[#This Row],[HTML]]+vhodni_podatki__1[[#This Row],[LaTeX]]+vhodni_podatki__1[[#This Row],[Excel]]+vhodni_podatki__1[[#This Row],[Mathematica]]</f>
        <v>97</v>
      </c>
      <c r="J51" cm="1">
        <f t="array" ref="J5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52" spans="1:10" x14ac:dyDescent="0.3">
      <c r="A52">
        <v>27242489</v>
      </c>
      <c r="B52" s="1" t="s">
        <v>8</v>
      </c>
      <c r="C52" s="1" t="s">
        <v>128</v>
      </c>
      <c r="D52" s="1" t="s">
        <v>129</v>
      </c>
      <c r="E52">
        <v>20</v>
      </c>
      <c r="F52">
        <v>35</v>
      </c>
      <c r="G52">
        <v>12</v>
      </c>
      <c r="H52">
        <v>26</v>
      </c>
      <c r="I52">
        <f>vhodni_podatki__1[[#This Row],[HTML]]+vhodni_podatki__1[[#This Row],[LaTeX]]+vhodni_podatki__1[[#This Row],[Excel]]+vhodni_podatki__1[[#This Row],[Mathematica]]</f>
        <v>93</v>
      </c>
      <c r="J52" cm="1">
        <f t="array" ref="J5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53" spans="1:10" x14ac:dyDescent="0.3">
      <c r="A53">
        <v>27242404</v>
      </c>
      <c r="B53" s="1" t="s">
        <v>11</v>
      </c>
      <c r="C53" s="1" t="s">
        <v>111</v>
      </c>
      <c r="D53" s="1" t="s">
        <v>112</v>
      </c>
      <c r="E53">
        <v>18</v>
      </c>
      <c r="F53">
        <v>11</v>
      </c>
      <c r="G53">
        <v>12</v>
      </c>
      <c r="H53">
        <v>29</v>
      </c>
      <c r="I53">
        <f>vhodni_podatki__1[[#This Row],[HTML]]+vhodni_podatki__1[[#This Row],[LaTeX]]+vhodni_podatki__1[[#This Row],[Excel]]+vhodni_podatki__1[[#This Row],[Mathematica]]</f>
        <v>70</v>
      </c>
      <c r="J53" cm="1">
        <f t="array" ref="J5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54" spans="1:10" x14ac:dyDescent="0.3">
      <c r="A54">
        <v>27242030</v>
      </c>
      <c r="B54" s="1" t="s">
        <v>11</v>
      </c>
      <c r="C54" s="1" t="s">
        <v>21</v>
      </c>
      <c r="D54" s="1" t="s">
        <v>22</v>
      </c>
      <c r="E54">
        <v>14</v>
      </c>
      <c r="F54">
        <v>25</v>
      </c>
      <c r="G54">
        <v>12</v>
      </c>
      <c r="H54">
        <v>28</v>
      </c>
      <c r="I54">
        <f>vhodni_podatki__1[[#This Row],[HTML]]+vhodni_podatki__1[[#This Row],[LaTeX]]+vhodni_podatki__1[[#This Row],[Excel]]+vhodni_podatki__1[[#This Row],[Mathematica]]</f>
        <v>79</v>
      </c>
      <c r="J54" cm="1">
        <f t="array" ref="J5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55" spans="1:10" x14ac:dyDescent="0.3">
      <c r="A55">
        <v>27242408</v>
      </c>
      <c r="B55" s="1" t="s">
        <v>11</v>
      </c>
      <c r="C55" s="1" t="s">
        <v>89</v>
      </c>
      <c r="D55" s="1" t="s">
        <v>113</v>
      </c>
      <c r="E55">
        <v>16</v>
      </c>
      <c r="F55">
        <v>8</v>
      </c>
      <c r="G55">
        <v>8</v>
      </c>
      <c r="H55">
        <v>21</v>
      </c>
      <c r="I55">
        <f>vhodni_podatki__1[[#This Row],[HTML]]+vhodni_podatki__1[[#This Row],[LaTeX]]+vhodni_podatki__1[[#This Row],[Excel]]+vhodni_podatki__1[[#This Row],[Mathematica]]</f>
        <v>53</v>
      </c>
      <c r="J55" cm="1">
        <f t="array" ref="J5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6</v>
      </c>
    </row>
    <row r="56" spans="1:10" x14ac:dyDescent="0.3">
      <c r="A56">
        <v>27242323</v>
      </c>
      <c r="B56" s="1" t="s">
        <v>16</v>
      </c>
      <c r="C56" s="1" t="s">
        <v>89</v>
      </c>
      <c r="D56" s="1" t="s">
        <v>90</v>
      </c>
      <c r="E56">
        <v>0</v>
      </c>
      <c r="F56">
        <v>0</v>
      </c>
      <c r="G56">
        <v>0</v>
      </c>
      <c r="H56">
        <v>0</v>
      </c>
      <c r="I56">
        <f>vhodni_podatki__1[[#This Row],[HTML]]+vhodni_podatki__1[[#This Row],[LaTeX]]+vhodni_podatki__1[[#This Row],[Excel]]+vhodni_podatki__1[[#This Row],[Mathematica]]</f>
        <v>0</v>
      </c>
      <c r="J56" cm="1">
        <f t="array" ref="J5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57" spans="1:10" x14ac:dyDescent="0.3">
      <c r="A57">
        <v>27242924</v>
      </c>
      <c r="B57" s="1" t="s">
        <v>11</v>
      </c>
      <c r="C57" s="1" t="s">
        <v>148</v>
      </c>
      <c r="D57" s="1" t="s">
        <v>104</v>
      </c>
      <c r="E57">
        <v>17</v>
      </c>
      <c r="F57">
        <v>21</v>
      </c>
      <c r="G57">
        <v>12</v>
      </c>
      <c r="H57">
        <v>25</v>
      </c>
      <c r="I57">
        <f>vhodni_podatki__1[[#This Row],[HTML]]+vhodni_podatki__1[[#This Row],[LaTeX]]+vhodni_podatki__1[[#This Row],[Excel]]+vhodni_podatki__1[[#This Row],[Mathematica]]</f>
        <v>75</v>
      </c>
      <c r="J57" cm="1">
        <f t="array" ref="J5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58" spans="1:10" x14ac:dyDescent="0.3">
      <c r="A58">
        <v>27242585</v>
      </c>
      <c r="B58" s="1" t="s">
        <v>11</v>
      </c>
      <c r="C58" s="1" t="s">
        <v>148</v>
      </c>
      <c r="D58" s="1" t="s">
        <v>149</v>
      </c>
      <c r="E58">
        <v>18</v>
      </c>
      <c r="F58">
        <v>36</v>
      </c>
      <c r="G58">
        <v>12</v>
      </c>
      <c r="H58">
        <v>29</v>
      </c>
      <c r="I58">
        <f>vhodni_podatki__1[[#This Row],[HTML]]+vhodni_podatki__1[[#This Row],[LaTeX]]+vhodni_podatki__1[[#This Row],[Excel]]+vhodni_podatki__1[[#This Row],[Mathematica]]</f>
        <v>95</v>
      </c>
      <c r="J58" cm="1">
        <f t="array" ref="J5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59" spans="1:10" x14ac:dyDescent="0.3">
      <c r="A59">
        <v>27242377</v>
      </c>
      <c r="B59" s="1" t="s">
        <v>8</v>
      </c>
      <c r="C59" s="1" t="s">
        <v>103</v>
      </c>
      <c r="D59" s="1" t="s">
        <v>104</v>
      </c>
      <c r="E59">
        <v>0</v>
      </c>
      <c r="F59">
        <v>0</v>
      </c>
      <c r="G59">
        <v>0</v>
      </c>
      <c r="H59">
        <v>0</v>
      </c>
      <c r="I59">
        <f>vhodni_podatki__1[[#This Row],[HTML]]+vhodni_podatki__1[[#This Row],[LaTeX]]+vhodni_podatki__1[[#This Row],[Excel]]+vhodni_podatki__1[[#This Row],[Mathematica]]</f>
        <v>0</v>
      </c>
      <c r="J59" cm="1">
        <f t="array" ref="J5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60" spans="1:10" x14ac:dyDescent="0.3">
      <c r="A60">
        <v>27242921</v>
      </c>
      <c r="B60" s="1" t="s">
        <v>11</v>
      </c>
      <c r="C60" s="1" t="s">
        <v>103</v>
      </c>
      <c r="D60" s="1" t="s">
        <v>216</v>
      </c>
      <c r="E60">
        <v>17</v>
      </c>
      <c r="F60">
        <v>34</v>
      </c>
      <c r="G60">
        <v>12</v>
      </c>
      <c r="H60">
        <v>29</v>
      </c>
      <c r="I60">
        <f>vhodni_podatki__1[[#This Row],[HTML]]+vhodni_podatki__1[[#This Row],[LaTeX]]+vhodni_podatki__1[[#This Row],[Excel]]+vhodni_podatki__1[[#This Row],[Mathematica]]</f>
        <v>92</v>
      </c>
      <c r="J60" cm="1">
        <f t="array" ref="J6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61" spans="1:10" x14ac:dyDescent="0.3">
      <c r="A61">
        <v>27242304</v>
      </c>
      <c r="B61" s="1" t="s">
        <v>67</v>
      </c>
      <c r="C61" s="1" t="s">
        <v>83</v>
      </c>
      <c r="D61" s="1" t="s">
        <v>84</v>
      </c>
      <c r="E61">
        <v>17</v>
      </c>
      <c r="F61">
        <v>32</v>
      </c>
      <c r="G61">
        <v>12</v>
      </c>
      <c r="H61">
        <v>25</v>
      </c>
      <c r="I61">
        <f>vhodni_podatki__1[[#This Row],[HTML]]+vhodni_podatki__1[[#This Row],[LaTeX]]+vhodni_podatki__1[[#This Row],[Excel]]+vhodni_podatki__1[[#This Row],[Mathematica]]</f>
        <v>86</v>
      </c>
      <c r="J61" cm="1">
        <f t="array" ref="J6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62" spans="1:10" x14ac:dyDescent="0.3">
      <c r="A62">
        <v>27242598</v>
      </c>
      <c r="B62" s="1" t="s">
        <v>11</v>
      </c>
      <c r="C62" s="1" t="s">
        <v>142</v>
      </c>
      <c r="D62" s="1" t="s">
        <v>154</v>
      </c>
      <c r="E62">
        <v>11</v>
      </c>
      <c r="F62">
        <v>25</v>
      </c>
      <c r="G62">
        <v>10</v>
      </c>
      <c r="H62">
        <v>26</v>
      </c>
      <c r="I62">
        <f>vhodni_podatki__1[[#This Row],[HTML]]+vhodni_podatki__1[[#This Row],[LaTeX]]+vhodni_podatki__1[[#This Row],[Excel]]+vhodni_podatki__1[[#This Row],[Mathematica]]</f>
        <v>72</v>
      </c>
      <c r="J62" cm="1">
        <f t="array" ref="J6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63" spans="1:10" x14ac:dyDescent="0.3">
      <c r="A63">
        <v>27242560</v>
      </c>
      <c r="B63" s="1" t="s">
        <v>8</v>
      </c>
      <c r="C63" s="1" t="s">
        <v>142</v>
      </c>
      <c r="D63" s="1" t="s">
        <v>143</v>
      </c>
      <c r="E63">
        <v>19</v>
      </c>
      <c r="F63">
        <v>23</v>
      </c>
      <c r="G63">
        <v>0</v>
      </c>
      <c r="H63">
        <v>23</v>
      </c>
      <c r="I63">
        <f>vhodni_podatki__1[[#This Row],[HTML]]+vhodni_podatki__1[[#This Row],[LaTeX]]+vhodni_podatki__1[[#This Row],[Excel]]+vhodni_podatki__1[[#This Row],[Mathematica]]</f>
        <v>65</v>
      </c>
      <c r="J63" cm="1">
        <f t="array" ref="J6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64" spans="1:10" x14ac:dyDescent="0.3">
      <c r="A64">
        <v>27242702</v>
      </c>
      <c r="B64" s="1" t="s">
        <v>11</v>
      </c>
      <c r="C64" s="1" t="s">
        <v>178</v>
      </c>
      <c r="D64" s="1" t="s">
        <v>179</v>
      </c>
      <c r="E64">
        <v>18</v>
      </c>
      <c r="F64">
        <v>36</v>
      </c>
      <c r="G64">
        <v>12</v>
      </c>
      <c r="H64">
        <v>32</v>
      </c>
      <c r="I64">
        <f>vhodni_podatki__1[[#This Row],[HTML]]+vhodni_podatki__1[[#This Row],[LaTeX]]+vhodni_podatki__1[[#This Row],[Excel]]+vhodni_podatki__1[[#This Row],[Mathematica]]</f>
        <v>98</v>
      </c>
      <c r="J64" cm="1">
        <f t="array" ref="J6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65" spans="1:10" x14ac:dyDescent="0.3">
      <c r="A65">
        <v>27242926</v>
      </c>
      <c r="B65" s="1" t="s">
        <v>8</v>
      </c>
      <c r="C65" s="1" t="s">
        <v>218</v>
      </c>
      <c r="D65" s="1" t="s">
        <v>219</v>
      </c>
      <c r="E65">
        <v>12</v>
      </c>
      <c r="F65">
        <v>15</v>
      </c>
      <c r="G65">
        <v>12</v>
      </c>
      <c r="H65">
        <v>27</v>
      </c>
      <c r="I65">
        <f>vhodni_podatki__1[[#This Row],[HTML]]+vhodni_podatki__1[[#This Row],[LaTeX]]+vhodni_podatki__1[[#This Row],[Excel]]+vhodni_podatki__1[[#This Row],[Mathematica]]</f>
        <v>66</v>
      </c>
      <c r="J65" cm="1">
        <f t="array" ref="J6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66" spans="1:10" x14ac:dyDescent="0.3">
      <c r="A66">
        <v>27242910</v>
      </c>
      <c r="B66" s="1" t="s">
        <v>8</v>
      </c>
      <c r="C66" s="1" t="s">
        <v>210</v>
      </c>
      <c r="D66" s="1" t="s">
        <v>211</v>
      </c>
      <c r="E66">
        <v>19</v>
      </c>
      <c r="F66">
        <v>30</v>
      </c>
      <c r="G66">
        <v>12</v>
      </c>
      <c r="H66">
        <v>25</v>
      </c>
      <c r="I66">
        <f>vhodni_podatki__1[[#This Row],[HTML]]+vhodni_podatki__1[[#This Row],[LaTeX]]+vhodni_podatki__1[[#This Row],[Excel]]+vhodni_podatki__1[[#This Row],[Mathematica]]</f>
        <v>86</v>
      </c>
      <c r="J66" cm="1">
        <f t="array" ref="J6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67" spans="1:10" x14ac:dyDescent="0.3">
      <c r="A67">
        <v>27242019</v>
      </c>
      <c r="B67" s="1" t="s">
        <v>16</v>
      </c>
      <c r="C67" s="1" t="s">
        <v>17</v>
      </c>
      <c r="D67" s="1" t="s">
        <v>18</v>
      </c>
      <c r="E67">
        <v>20</v>
      </c>
      <c r="F67">
        <v>36</v>
      </c>
      <c r="G67">
        <v>12</v>
      </c>
      <c r="H67">
        <v>31</v>
      </c>
      <c r="I67">
        <f>vhodni_podatki__1[[#This Row],[HTML]]+vhodni_podatki__1[[#This Row],[LaTeX]]+vhodni_podatki__1[[#This Row],[Excel]]+vhodni_podatki__1[[#This Row],[Mathematica]]</f>
        <v>99</v>
      </c>
      <c r="J67" cm="1">
        <f t="array" ref="J6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68" spans="1:10" x14ac:dyDescent="0.3">
      <c r="A68">
        <v>27242759</v>
      </c>
      <c r="B68" s="1" t="s">
        <v>11</v>
      </c>
      <c r="C68" s="1" t="s">
        <v>184</v>
      </c>
      <c r="D68" s="1" t="s">
        <v>186</v>
      </c>
      <c r="E68">
        <v>19</v>
      </c>
      <c r="F68">
        <v>27</v>
      </c>
      <c r="G68">
        <v>12</v>
      </c>
      <c r="H68">
        <v>12</v>
      </c>
      <c r="I68">
        <f>vhodni_podatki__1[[#This Row],[HTML]]+vhodni_podatki__1[[#This Row],[LaTeX]]+vhodni_podatki__1[[#This Row],[Excel]]+vhodni_podatki__1[[#This Row],[Mathematica]]</f>
        <v>70</v>
      </c>
      <c r="J68" cm="1">
        <f t="array" ref="J6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69" spans="1:10" x14ac:dyDescent="0.3">
      <c r="A69">
        <v>27242748</v>
      </c>
      <c r="B69" s="1" t="s">
        <v>8</v>
      </c>
      <c r="C69" s="1" t="s">
        <v>184</v>
      </c>
      <c r="D69" s="1" t="s">
        <v>185</v>
      </c>
      <c r="E69">
        <v>0</v>
      </c>
      <c r="F69">
        <v>0</v>
      </c>
      <c r="G69">
        <v>0</v>
      </c>
      <c r="H69">
        <v>0</v>
      </c>
      <c r="I69">
        <f>vhodni_podatki__1[[#This Row],[HTML]]+vhodni_podatki__1[[#This Row],[LaTeX]]+vhodni_podatki__1[[#This Row],[Excel]]+vhodni_podatki__1[[#This Row],[Mathematica]]</f>
        <v>0</v>
      </c>
      <c r="J69" cm="1">
        <f t="array" ref="J6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70" spans="1:10" x14ac:dyDescent="0.3">
      <c r="A70">
        <v>27242132</v>
      </c>
      <c r="B70" s="1" t="s">
        <v>11</v>
      </c>
      <c r="C70" s="1" t="s">
        <v>43</v>
      </c>
      <c r="D70" s="1" t="s">
        <v>44</v>
      </c>
      <c r="E70">
        <v>18</v>
      </c>
      <c r="F70">
        <v>24</v>
      </c>
      <c r="G70">
        <v>12</v>
      </c>
      <c r="H70">
        <v>17</v>
      </c>
      <c r="I70">
        <f>vhodni_podatki__1[[#This Row],[HTML]]+vhodni_podatki__1[[#This Row],[LaTeX]]+vhodni_podatki__1[[#This Row],[Excel]]+vhodni_podatki__1[[#This Row],[Mathematica]]</f>
        <v>71</v>
      </c>
      <c r="J70" cm="1">
        <f t="array" ref="J7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71" spans="1:10" x14ac:dyDescent="0.3">
      <c r="A71">
        <v>27242503</v>
      </c>
      <c r="B71" s="1" t="s">
        <v>11</v>
      </c>
      <c r="C71" s="1" t="s">
        <v>132</v>
      </c>
      <c r="D71" s="1" t="s">
        <v>133</v>
      </c>
      <c r="E71">
        <v>18</v>
      </c>
      <c r="F71">
        <v>12</v>
      </c>
      <c r="G71">
        <v>7</v>
      </c>
      <c r="H71">
        <v>23</v>
      </c>
      <c r="I71">
        <f>vhodni_podatki__1[[#This Row],[HTML]]+vhodni_podatki__1[[#This Row],[LaTeX]]+vhodni_podatki__1[[#This Row],[Excel]]+vhodni_podatki__1[[#This Row],[Mathematica]]</f>
        <v>60</v>
      </c>
      <c r="J71" cm="1">
        <f t="array" ref="J7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72" spans="1:10" x14ac:dyDescent="0.3">
      <c r="A72">
        <v>27242508</v>
      </c>
      <c r="B72" s="1" t="s">
        <v>67</v>
      </c>
      <c r="C72" s="1" t="s">
        <v>134</v>
      </c>
      <c r="D72" s="1" t="s">
        <v>135</v>
      </c>
      <c r="E72">
        <v>19</v>
      </c>
      <c r="F72">
        <v>30</v>
      </c>
      <c r="G72">
        <v>12</v>
      </c>
      <c r="H72">
        <v>15</v>
      </c>
      <c r="I72">
        <f>vhodni_podatki__1[[#This Row],[HTML]]+vhodni_podatki__1[[#This Row],[LaTeX]]+vhodni_podatki__1[[#This Row],[Excel]]+vhodni_podatki__1[[#This Row],[Mathematica]]</f>
        <v>76</v>
      </c>
      <c r="J72" cm="1">
        <f t="array" ref="J7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73" spans="1:10" x14ac:dyDescent="0.3">
      <c r="A73">
        <v>27242773</v>
      </c>
      <c r="B73" s="1" t="s">
        <v>16</v>
      </c>
      <c r="C73" s="1" t="s">
        <v>76</v>
      </c>
      <c r="D73" s="1" t="s">
        <v>189</v>
      </c>
      <c r="E73">
        <v>0</v>
      </c>
      <c r="F73">
        <v>0</v>
      </c>
      <c r="G73">
        <v>0</v>
      </c>
      <c r="H73">
        <v>25</v>
      </c>
      <c r="I73">
        <f>vhodni_podatki__1[[#This Row],[HTML]]+vhodni_podatki__1[[#This Row],[LaTeX]]+vhodni_podatki__1[[#This Row],[Excel]]+vhodni_podatki__1[[#This Row],[Mathematica]]</f>
        <v>25</v>
      </c>
      <c r="J73" cm="1">
        <f t="array" ref="J7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74" spans="1:10" x14ac:dyDescent="0.3">
      <c r="A74">
        <v>27242284</v>
      </c>
      <c r="B74" s="1" t="s">
        <v>11</v>
      </c>
      <c r="C74" s="1" t="s">
        <v>76</v>
      </c>
      <c r="D74" s="1" t="s">
        <v>77</v>
      </c>
      <c r="E74">
        <v>14</v>
      </c>
      <c r="F74">
        <v>13</v>
      </c>
      <c r="G74">
        <v>9</v>
      </c>
      <c r="H74">
        <v>15</v>
      </c>
      <c r="I74">
        <f>vhodni_podatki__1[[#This Row],[HTML]]+vhodni_podatki__1[[#This Row],[LaTeX]]+vhodni_podatki__1[[#This Row],[Excel]]+vhodni_podatki__1[[#This Row],[Mathematica]]</f>
        <v>51</v>
      </c>
      <c r="J74" cm="1">
        <f t="array" ref="J7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6</v>
      </c>
    </row>
    <row r="75" spans="1:10" x14ac:dyDescent="0.3">
      <c r="A75">
        <v>27242223</v>
      </c>
      <c r="B75" s="1" t="s">
        <v>8</v>
      </c>
      <c r="C75" s="1" t="s">
        <v>65</v>
      </c>
      <c r="D75" s="1" t="s">
        <v>66</v>
      </c>
      <c r="E75">
        <v>20</v>
      </c>
      <c r="F75">
        <v>36</v>
      </c>
      <c r="G75">
        <v>12</v>
      </c>
      <c r="H75">
        <v>30</v>
      </c>
      <c r="I75">
        <f>vhodni_podatki__1[[#This Row],[HTML]]+vhodni_podatki__1[[#This Row],[LaTeX]]+vhodni_podatki__1[[#This Row],[Excel]]+vhodni_podatki__1[[#This Row],[Mathematica]]</f>
        <v>98</v>
      </c>
      <c r="J75" cm="1">
        <f t="array" ref="J7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76" spans="1:10" x14ac:dyDescent="0.3">
      <c r="A76">
        <v>27242744</v>
      </c>
      <c r="B76" s="1" t="s">
        <v>11</v>
      </c>
      <c r="C76" s="1" t="s">
        <v>120</v>
      </c>
      <c r="D76" s="1" t="s">
        <v>183</v>
      </c>
      <c r="E76">
        <v>18</v>
      </c>
      <c r="F76">
        <v>36</v>
      </c>
      <c r="G76">
        <v>12</v>
      </c>
      <c r="H76">
        <v>28</v>
      </c>
      <c r="I76">
        <f>vhodni_podatki__1[[#This Row],[HTML]]+vhodni_podatki__1[[#This Row],[LaTeX]]+vhodni_podatki__1[[#This Row],[Excel]]+vhodni_podatki__1[[#This Row],[Mathematica]]</f>
        <v>94</v>
      </c>
      <c r="J76" cm="1">
        <f t="array" ref="J7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77" spans="1:10" x14ac:dyDescent="0.3">
      <c r="A77">
        <v>27242447</v>
      </c>
      <c r="B77" s="1" t="s">
        <v>8</v>
      </c>
      <c r="C77" s="1" t="s">
        <v>120</v>
      </c>
      <c r="D77" s="1" t="s">
        <v>121</v>
      </c>
      <c r="E77">
        <v>18</v>
      </c>
      <c r="F77">
        <v>30</v>
      </c>
      <c r="G77">
        <v>12</v>
      </c>
      <c r="H77">
        <v>32</v>
      </c>
      <c r="I77">
        <f>vhodni_podatki__1[[#This Row],[HTML]]+vhodni_podatki__1[[#This Row],[LaTeX]]+vhodni_podatki__1[[#This Row],[Excel]]+vhodni_podatki__1[[#This Row],[Mathematica]]</f>
        <v>92</v>
      </c>
      <c r="J77" cm="1">
        <f t="array" ref="J7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78" spans="1:10" x14ac:dyDescent="0.3">
      <c r="A78">
        <v>27242409</v>
      </c>
      <c r="B78" s="1" t="s">
        <v>11</v>
      </c>
      <c r="C78" s="1" t="s">
        <v>114</v>
      </c>
      <c r="D78" s="1" t="s">
        <v>115</v>
      </c>
      <c r="E78">
        <v>16</v>
      </c>
      <c r="F78">
        <v>6</v>
      </c>
      <c r="G78">
        <v>10</v>
      </c>
      <c r="H78">
        <v>22</v>
      </c>
      <c r="I78">
        <f>vhodni_podatki__1[[#This Row],[HTML]]+vhodni_podatki__1[[#This Row],[LaTeX]]+vhodni_podatki__1[[#This Row],[Excel]]+vhodni_podatki__1[[#This Row],[Mathematica]]</f>
        <v>54</v>
      </c>
      <c r="J78" cm="1">
        <f t="array" ref="J7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6</v>
      </c>
    </row>
    <row r="79" spans="1:10" x14ac:dyDescent="0.3">
      <c r="A79">
        <v>27242119</v>
      </c>
      <c r="B79" s="1" t="s">
        <v>11</v>
      </c>
      <c r="C79" s="1" t="s">
        <v>41</v>
      </c>
      <c r="D79" s="1" t="s">
        <v>42</v>
      </c>
      <c r="E79">
        <v>17</v>
      </c>
      <c r="F79">
        <v>30</v>
      </c>
      <c r="G79">
        <v>9</v>
      </c>
      <c r="H79">
        <v>20</v>
      </c>
      <c r="I79">
        <f>vhodni_podatki__1[[#This Row],[HTML]]+vhodni_podatki__1[[#This Row],[LaTeX]]+vhodni_podatki__1[[#This Row],[Excel]]+vhodni_podatki__1[[#This Row],[Mathematica]]</f>
        <v>76</v>
      </c>
      <c r="J79" cm="1">
        <f t="array" ref="J7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80" spans="1:10" x14ac:dyDescent="0.3">
      <c r="A80">
        <v>27242221</v>
      </c>
      <c r="B80" s="1" t="s">
        <v>8</v>
      </c>
      <c r="C80" s="1" t="s">
        <v>59</v>
      </c>
      <c r="D80" s="1" t="s">
        <v>64</v>
      </c>
      <c r="E80">
        <v>18</v>
      </c>
      <c r="F80">
        <v>32</v>
      </c>
      <c r="G80">
        <v>12</v>
      </c>
      <c r="H80">
        <v>32</v>
      </c>
      <c r="I80">
        <f>vhodni_podatki__1[[#This Row],[HTML]]+vhodni_podatki__1[[#This Row],[LaTeX]]+vhodni_podatki__1[[#This Row],[Excel]]+vhodni_podatki__1[[#This Row],[Mathematica]]</f>
        <v>94</v>
      </c>
      <c r="J80" cm="1">
        <f t="array" ref="J8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81" spans="1:10" x14ac:dyDescent="0.3">
      <c r="A81">
        <v>27242191</v>
      </c>
      <c r="B81" s="1" t="s">
        <v>11</v>
      </c>
      <c r="C81" s="1" t="s">
        <v>59</v>
      </c>
      <c r="D81" s="1" t="s">
        <v>60</v>
      </c>
      <c r="E81">
        <v>0</v>
      </c>
      <c r="F81">
        <v>0</v>
      </c>
      <c r="G81">
        <v>0</v>
      </c>
      <c r="H81">
        <v>24</v>
      </c>
      <c r="I81">
        <f>vhodni_podatki__1[[#This Row],[HTML]]+vhodni_podatki__1[[#This Row],[LaTeX]]+vhodni_podatki__1[[#This Row],[Excel]]+vhodni_podatki__1[[#This Row],[Mathematica]]</f>
        <v>24</v>
      </c>
      <c r="J81" cm="1">
        <f t="array" ref="J8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82" spans="1:10" x14ac:dyDescent="0.3">
      <c r="A82">
        <v>28242075</v>
      </c>
      <c r="B82" s="1" t="s">
        <v>236</v>
      </c>
      <c r="C82" s="1" t="s">
        <v>25</v>
      </c>
      <c r="D82" s="1" t="s">
        <v>177</v>
      </c>
      <c r="E82">
        <v>15</v>
      </c>
      <c r="F82">
        <v>0</v>
      </c>
      <c r="G82">
        <v>12</v>
      </c>
      <c r="H82">
        <v>13</v>
      </c>
      <c r="I82">
        <f>vhodni_podatki__1[[#This Row],[HTML]]+vhodni_podatki__1[[#This Row],[LaTeX]]+vhodni_podatki__1[[#This Row],[Excel]]+vhodni_podatki__1[[#This Row],[Mathematica]]</f>
        <v>40</v>
      </c>
      <c r="J82" cm="1">
        <f t="array" ref="J8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83" spans="1:10" x14ac:dyDescent="0.3">
      <c r="A83">
        <v>27242039</v>
      </c>
      <c r="B83" s="1" t="s">
        <v>8</v>
      </c>
      <c r="C83" s="1" t="s">
        <v>25</v>
      </c>
      <c r="D83" s="1" t="s">
        <v>26</v>
      </c>
      <c r="E83">
        <v>18</v>
      </c>
      <c r="F83">
        <v>32</v>
      </c>
      <c r="G83">
        <v>12</v>
      </c>
      <c r="H83">
        <v>28</v>
      </c>
      <c r="I83">
        <f>vhodni_podatki__1[[#This Row],[HTML]]+vhodni_podatki__1[[#This Row],[LaTeX]]+vhodni_podatki__1[[#This Row],[Excel]]+vhodni_podatki__1[[#This Row],[Mathematica]]</f>
        <v>90</v>
      </c>
      <c r="J83" cm="1">
        <f t="array" ref="J8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84" spans="1:10" x14ac:dyDescent="0.3">
      <c r="A84">
        <v>27242313</v>
      </c>
      <c r="B84" s="1" t="s">
        <v>67</v>
      </c>
      <c r="C84" s="1" t="s">
        <v>87</v>
      </c>
      <c r="D84" s="1" t="s">
        <v>88</v>
      </c>
      <c r="E84">
        <v>17</v>
      </c>
      <c r="F84">
        <v>29</v>
      </c>
      <c r="G84">
        <v>12</v>
      </c>
      <c r="H84">
        <v>22</v>
      </c>
      <c r="I84">
        <f>vhodni_podatki__1[[#This Row],[HTML]]+vhodni_podatki__1[[#This Row],[LaTeX]]+vhodni_podatki__1[[#This Row],[Excel]]+vhodni_podatki__1[[#This Row],[Mathematica]]</f>
        <v>80</v>
      </c>
      <c r="J84" cm="1">
        <f t="array" ref="J8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85" spans="1:10" x14ac:dyDescent="0.3">
      <c r="A85">
        <v>27242932</v>
      </c>
      <c r="B85" s="1" t="s">
        <v>11</v>
      </c>
      <c r="C85" s="1" t="s">
        <v>220</v>
      </c>
      <c r="D85" s="1" t="s">
        <v>221</v>
      </c>
      <c r="E85">
        <v>15</v>
      </c>
      <c r="F85">
        <v>27</v>
      </c>
      <c r="G85">
        <v>0</v>
      </c>
      <c r="H85">
        <v>30</v>
      </c>
      <c r="I85">
        <f>vhodni_podatki__1[[#This Row],[HTML]]+vhodni_podatki__1[[#This Row],[LaTeX]]+vhodni_podatki__1[[#This Row],[Excel]]+vhodni_podatki__1[[#This Row],[Mathematica]]</f>
        <v>72</v>
      </c>
      <c r="J85" cm="1">
        <f t="array" ref="J8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86" spans="1:10" x14ac:dyDescent="0.3">
      <c r="A86">
        <v>27242566</v>
      </c>
      <c r="B86" s="1" t="s">
        <v>11</v>
      </c>
      <c r="C86" s="1" t="s">
        <v>144</v>
      </c>
      <c r="D86" s="1" t="s">
        <v>145</v>
      </c>
      <c r="E86">
        <v>20</v>
      </c>
      <c r="F86">
        <v>31</v>
      </c>
      <c r="G86">
        <v>12</v>
      </c>
      <c r="H86">
        <v>30</v>
      </c>
      <c r="I86">
        <f>vhodni_podatki__1[[#This Row],[HTML]]+vhodni_podatki__1[[#This Row],[LaTeX]]+vhodni_podatki__1[[#This Row],[Excel]]+vhodni_podatki__1[[#This Row],[Mathematica]]</f>
        <v>93</v>
      </c>
      <c r="J86" cm="1">
        <f t="array" ref="J8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87" spans="1:10" x14ac:dyDescent="0.3">
      <c r="A87">
        <v>27242830</v>
      </c>
      <c r="B87" s="1" t="s">
        <v>11</v>
      </c>
      <c r="C87" s="1" t="s">
        <v>144</v>
      </c>
      <c r="D87" s="1" t="s">
        <v>198</v>
      </c>
      <c r="E87">
        <v>15</v>
      </c>
      <c r="F87">
        <v>31</v>
      </c>
      <c r="G87">
        <v>9</v>
      </c>
      <c r="H87">
        <v>27</v>
      </c>
      <c r="I87">
        <f>vhodni_podatki__1[[#This Row],[HTML]]+vhodni_podatki__1[[#This Row],[LaTeX]]+vhodni_podatki__1[[#This Row],[Excel]]+vhodni_podatki__1[[#This Row],[Mathematica]]</f>
        <v>82</v>
      </c>
      <c r="J87" cm="1">
        <f t="array" ref="J8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88" spans="1:10" x14ac:dyDescent="0.3">
      <c r="A88">
        <v>27242922</v>
      </c>
      <c r="B88" s="1" t="s">
        <v>11</v>
      </c>
      <c r="C88" s="1" t="s">
        <v>217</v>
      </c>
      <c r="D88" s="1" t="s">
        <v>183</v>
      </c>
      <c r="E88">
        <v>13</v>
      </c>
      <c r="F88">
        <v>27</v>
      </c>
      <c r="G88">
        <v>12</v>
      </c>
      <c r="H88">
        <v>25</v>
      </c>
      <c r="I88">
        <f>vhodni_podatki__1[[#This Row],[HTML]]+vhodni_podatki__1[[#This Row],[LaTeX]]+vhodni_podatki__1[[#This Row],[Excel]]+vhodni_podatki__1[[#This Row],[Mathematica]]</f>
        <v>77</v>
      </c>
      <c r="J88" cm="1">
        <f t="array" ref="J8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89" spans="1:10" x14ac:dyDescent="0.3">
      <c r="A89">
        <v>27242995</v>
      </c>
      <c r="B89" s="1" t="s">
        <v>11</v>
      </c>
      <c r="C89" s="1" t="s">
        <v>217</v>
      </c>
      <c r="D89" s="1" t="s">
        <v>235</v>
      </c>
      <c r="E89">
        <v>19</v>
      </c>
      <c r="F89">
        <v>19</v>
      </c>
      <c r="G89">
        <v>7</v>
      </c>
      <c r="H89">
        <v>20</v>
      </c>
      <c r="I89">
        <f>vhodni_podatki__1[[#This Row],[HTML]]+vhodni_podatki__1[[#This Row],[LaTeX]]+vhodni_podatki__1[[#This Row],[Excel]]+vhodni_podatki__1[[#This Row],[Mathematica]]</f>
        <v>65</v>
      </c>
      <c r="J89" cm="1">
        <f t="array" ref="J8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90" spans="1:10" x14ac:dyDescent="0.3">
      <c r="A90">
        <v>27242534</v>
      </c>
      <c r="B90" s="1" t="s">
        <v>8</v>
      </c>
      <c r="C90" s="1" t="s">
        <v>137</v>
      </c>
      <c r="D90" s="1" t="s">
        <v>138</v>
      </c>
      <c r="E90">
        <v>20</v>
      </c>
      <c r="F90">
        <v>36</v>
      </c>
      <c r="G90">
        <v>12</v>
      </c>
      <c r="H90">
        <v>32</v>
      </c>
      <c r="I90">
        <f>vhodni_podatki__1[[#This Row],[HTML]]+vhodni_podatki__1[[#This Row],[LaTeX]]+vhodni_podatki__1[[#This Row],[Excel]]+vhodni_podatki__1[[#This Row],[Mathematica]]</f>
        <v>100</v>
      </c>
      <c r="J90" cm="1">
        <f t="array" ref="J9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91" spans="1:10" x14ac:dyDescent="0.3">
      <c r="A91">
        <v>27242594</v>
      </c>
      <c r="B91" s="1" t="s">
        <v>11</v>
      </c>
      <c r="C91" s="1" t="s">
        <v>137</v>
      </c>
      <c r="D91" s="1" t="s">
        <v>152</v>
      </c>
      <c r="E91">
        <v>14</v>
      </c>
      <c r="F91">
        <v>22</v>
      </c>
      <c r="G91">
        <v>12</v>
      </c>
      <c r="H91">
        <v>27</v>
      </c>
      <c r="I91">
        <f>vhodni_podatki__1[[#This Row],[HTML]]+vhodni_podatki__1[[#This Row],[LaTeX]]+vhodni_podatki__1[[#This Row],[Excel]]+vhodni_podatki__1[[#This Row],[Mathematica]]</f>
        <v>75</v>
      </c>
      <c r="J91" cm="1">
        <f t="array" ref="J9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92" spans="1:10" x14ac:dyDescent="0.3">
      <c r="A92">
        <v>27242887</v>
      </c>
      <c r="B92" s="1" t="s">
        <v>11</v>
      </c>
      <c r="C92" s="1" t="s">
        <v>204</v>
      </c>
      <c r="D92" s="1" t="s">
        <v>205</v>
      </c>
      <c r="E92">
        <v>19</v>
      </c>
      <c r="F92">
        <v>33</v>
      </c>
      <c r="G92">
        <v>12</v>
      </c>
      <c r="H92">
        <v>26</v>
      </c>
      <c r="I92">
        <f>vhodni_podatki__1[[#This Row],[HTML]]+vhodni_podatki__1[[#This Row],[LaTeX]]+vhodni_podatki__1[[#This Row],[Excel]]+vhodni_podatki__1[[#This Row],[Mathematica]]</f>
        <v>90</v>
      </c>
      <c r="J92" cm="1">
        <f t="array" ref="J9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93" spans="1:10" x14ac:dyDescent="0.3">
      <c r="A93">
        <v>27242255</v>
      </c>
      <c r="B93" s="1" t="s">
        <v>11</v>
      </c>
      <c r="C93" s="1" t="s">
        <v>72</v>
      </c>
      <c r="D93" s="1" t="s">
        <v>73</v>
      </c>
      <c r="E93">
        <v>0</v>
      </c>
      <c r="F93">
        <v>0</v>
      </c>
      <c r="G93">
        <v>0</v>
      </c>
      <c r="H93">
        <v>0</v>
      </c>
      <c r="I93">
        <f>vhodni_podatki__1[[#This Row],[HTML]]+vhodni_podatki__1[[#This Row],[LaTeX]]+vhodni_podatki__1[[#This Row],[Excel]]+vhodni_podatki__1[[#This Row],[Mathematica]]</f>
        <v>0</v>
      </c>
      <c r="J93" cm="1">
        <f t="array" ref="J9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94" spans="1:10" x14ac:dyDescent="0.3">
      <c r="A94">
        <v>27242683</v>
      </c>
      <c r="B94" s="1" t="s">
        <v>8</v>
      </c>
      <c r="C94" s="1" t="s">
        <v>169</v>
      </c>
      <c r="D94" s="1" t="s">
        <v>170</v>
      </c>
      <c r="E94">
        <v>20</v>
      </c>
      <c r="F94">
        <v>36</v>
      </c>
      <c r="G94">
        <v>12</v>
      </c>
      <c r="H94">
        <v>32</v>
      </c>
      <c r="I94">
        <f>vhodni_podatki__1[[#This Row],[HTML]]+vhodni_podatki__1[[#This Row],[LaTeX]]+vhodni_podatki__1[[#This Row],[Excel]]+vhodni_podatki__1[[#This Row],[Mathematica]]</f>
        <v>100</v>
      </c>
      <c r="J94" cm="1">
        <f t="array" ref="J9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95" spans="1:10" x14ac:dyDescent="0.3">
      <c r="A95">
        <v>27242826</v>
      </c>
      <c r="B95" s="1" t="s">
        <v>11</v>
      </c>
      <c r="C95" s="1" t="s">
        <v>169</v>
      </c>
      <c r="D95" s="1" t="s">
        <v>195</v>
      </c>
      <c r="E95">
        <v>9</v>
      </c>
      <c r="F95">
        <v>18</v>
      </c>
      <c r="G95">
        <v>8</v>
      </c>
      <c r="H95">
        <v>21</v>
      </c>
      <c r="I95">
        <f>vhodni_podatki__1[[#This Row],[HTML]]+vhodni_podatki__1[[#This Row],[LaTeX]]+vhodni_podatki__1[[#This Row],[Excel]]+vhodni_podatki__1[[#This Row],[Mathematica]]</f>
        <v>56</v>
      </c>
      <c r="J95" cm="1">
        <f t="array" ref="J9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6</v>
      </c>
    </row>
    <row r="96" spans="1:10" x14ac:dyDescent="0.3">
      <c r="A96">
        <v>27242915</v>
      </c>
      <c r="B96" s="1" t="s">
        <v>11</v>
      </c>
      <c r="C96" s="1" t="s">
        <v>212</v>
      </c>
      <c r="D96" s="1" t="s">
        <v>213</v>
      </c>
      <c r="E96">
        <v>18</v>
      </c>
      <c r="F96">
        <v>30</v>
      </c>
      <c r="G96">
        <v>12</v>
      </c>
      <c r="H96">
        <v>23</v>
      </c>
      <c r="I96">
        <f>vhodni_podatki__1[[#This Row],[HTML]]+vhodni_podatki__1[[#This Row],[LaTeX]]+vhodni_podatki__1[[#This Row],[Excel]]+vhodni_podatki__1[[#This Row],[Mathematica]]</f>
        <v>83</v>
      </c>
      <c r="J96" cm="1">
        <f t="array" ref="J9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97" spans="1:10" x14ac:dyDescent="0.3">
      <c r="A97">
        <v>27242156</v>
      </c>
      <c r="B97" s="1" t="s">
        <v>11</v>
      </c>
      <c r="C97" s="1" t="s">
        <v>23</v>
      </c>
      <c r="D97" s="1" t="s">
        <v>48</v>
      </c>
      <c r="E97">
        <v>18</v>
      </c>
      <c r="F97">
        <v>32</v>
      </c>
      <c r="G97">
        <v>12</v>
      </c>
      <c r="H97">
        <v>29</v>
      </c>
      <c r="I97">
        <f>vhodni_podatki__1[[#This Row],[HTML]]+vhodni_podatki__1[[#This Row],[LaTeX]]+vhodni_podatki__1[[#This Row],[Excel]]+vhodni_podatki__1[[#This Row],[Mathematica]]</f>
        <v>91</v>
      </c>
      <c r="J97" cm="1">
        <f t="array" ref="J9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98" spans="1:10" x14ac:dyDescent="0.3">
      <c r="A98">
        <v>27242038</v>
      </c>
      <c r="B98" s="1" t="s">
        <v>11</v>
      </c>
      <c r="C98" s="1" t="s">
        <v>23</v>
      </c>
      <c r="D98" s="1" t="s">
        <v>24</v>
      </c>
      <c r="E98">
        <v>16</v>
      </c>
      <c r="F98">
        <v>10</v>
      </c>
      <c r="G98">
        <v>0</v>
      </c>
      <c r="H98">
        <v>26</v>
      </c>
      <c r="I98">
        <f>vhodni_podatki__1[[#This Row],[HTML]]+vhodni_podatki__1[[#This Row],[LaTeX]]+vhodni_podatki__1[[#This Row],[Excel]]+vhodni_podatki__1[[#This Row],[Mathematica]]</f>
        <v>52</v>
      </c>
      <c r="J98" cm="1">
        <f t="array" ref="J9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6</v>
      </c>
    </row>
    <row r="99" spans="1:10" x14ac:dyDescent="0.3">
      <c r="A99">
        <v>27242763</v>
      </c>
      <c r="B99" s="1" t="s">
        <v>11</v>
      </c>
      <c r="C99" s="1" t="s">
        <v>187</v>
      </c>
      <c r="D99" s="1" t="s">
        <v>188</v>
      </c>
      <c r="E99">
        <v>19</v>
      </c>
      <c r="F99">
        <v>34</v>
      </c>
      <c r="G99">
        <v>12</v>
      </c>
      <c r="H99">
        <v>29</v>
      </c>
      <c r="I99">
        <f>vhodni_podatki__1[[#This Row],[HTML]]+vhodni_podatki__1[[#This Row],[LaTeX]]+vhodni_podatki__1[[#This Row],[Excel]]+vhodni_podatki__1[[#This Row],[Mathematica]]</f>
        <v>94</v>
      </c>
      <c r="J99" cm="1">
        <f t="array" ref="J9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00" spans="1:10" x14ac:dyDescent="0.3">
      <c r="A100">
        <v>27242145</v>
      </c>
      <c r="B100" s="1" t="s">
        <v>8</v>
      </c>
      <c r="C100" s="1" t="s">
        <v>45</v>
      </c>
      <c r="D100" s="1" t="s">
        <v>46</v>
      </c>
      <c r="E100">
        <v>19</v>
      </c>
      <c r="F100">
        <v>36</v>
      </c>
      <c r="G100">
        <v>12</v>
      </c>
      <c r="H100">
        <v>32</v>
      </c>
      <c r="I100">
        <f>vhodni_podatki__1[[#This Row],[HTML]]+vhodni_podatki__1[[#This Row],[LaTeX]]+vhodni_podatki__1[[#This Row],[Excel]]+vhodni_podatki__1[[#This Row],[Mathematica]]</f>
        <v>99</v>
      </c>
      <c r="J100" cm="1">
        <f t="array" ref="J10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01" spans="1:10" x14ac:dyDescent="0.3">
      <c r="A101">
        <v>27242896</v>
      </c>
      <c r="B101" s="1" t="s">
        <v>8</v>
      </c>
      <c r="C101" s="1" t="s">
        <v>206</v>
      </c>
      <c r="D101" s="1" t="s">
        <v>207</v>
      </c>
      <c r="E101">
        <v>18</v>
      </c>
      <c r="F101">
        <v>35</v>
      </c>
      <c r="G101">
        <v>12</v>
      </c>
      <c r="H101">
        <v>30</v>
      </c>
      <c r="I101">
        <f>vhodni_podatki__1[[#This Row],[HTML]]+vhodni_podatki__1[[#This Row],[LaTeX]]+vhodni_podatki__1[[#This Row],[Excel]]+vhodni_podatki__1[[#This Row],[Mathematica]]</f>
        <v>95</v>
      </c>
      <c r="J101" cm="1">
        <f t="array" ref="J10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02" spans="1:10" x14ac:dyDescent="0.3">
      <c r="A102">
        <v>27242982</v>
      </c>
      <c r="B102" s="1" t="s">
        <v>11</v>
      </c>
      <c r="C102" s="1" t="s">
        <v>79</v>
      </c>
      <c r="D102" s="1" t="s">
        <v>231</v>
      </c>
      <c r="E102">
        <v>18</v>
      </c>
      <c r="F102">
        <v>34</v>
      </c>
      <c r="G102">
        <v>12</v>
      </c>
      <c r="H102">
        <v>30</v>
      </c>
      <c r="I102">
        <f>vhodni_podatki__1[[#This Row],[HTML]]+vhodni_podatki__1[[#This Row],[LaTeX]]+vhodni_podatki__1[[#This Row],[Excel]]+vhodni_podatki__1[[#This Row],[Mathematica]]</f>
        <v>94</v>
      </c>
      <c r="J102" cm="1">
        <f t="array" ref="J10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03" spans="1:10" x14ac:dyDescent="0.3">
      <c r="A103">
        <v>27242295</v>
      </c>
      <c r="B103" s="1" t="s">
        <v>16</v>
      </c>
      <c r="C103" s="1" t="s">
        <v>79</v>
      </c>
      <c r="D103" s="1" t="s">
        <v>80</v>
      </c>
      <c r="E103">
        <v>18</v>
      </c>
      <c r="F103">
        <v>25</v>
      </c>
      <c r="G103">
        <v>12</v>
      </c>
      <c r="H103">
        <v>31</v>
      </c>
      <c r="I103">
        <f>vhodni_podatki__1[[#This Row],[HTML]]+vhodni_podatki__1[[#This Row],[LaTeX]]+vhodni_podatki__1[[#This Row],[Excel]]+vhodni_podatki__1[[#This Row],[Mathematica]]</f>
        <v>86</v>
      </c>
      <c r="J103" cm="1">
        <f t="array" ref="J10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104" spans="1:10" x14ac:dyDescent="0.3">
      <c r="A104">
        <v>27242977</v>
      </c>
      <c r="B104" s="1" t="s">
        <v>11</v>
      </c>
      <c r="C104" s="1" t="s">
        <v>229</v>
      </c>
      <c r="D104" s="1" t="s">
        <v>230</v>
      </c>
      <c r="E104">
        <v>19</v>
      </c>
      <c r="F104">
        <v>30</v>
      </c>
      <c r="G104">
        <v>12</v>
      </c>
      <c r="H104">
        <v>24</v>
      </c>
      <c r="I104">
        <f>vhodni_podatki__1[[#This Row],[HTML]]+vhodni_podatki__1[[#This Row],[LaTeX]]+vhodni_podatki__1[[#This Row],[Excel]]+vhodni_podatki__1[[#This Row],[Mathematica]]</f>
        <v>85</v>
      </c>
      <c r="J104" cm="1">
        <f t="array" ref="J10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105" spans="1:10" x14ac:dyDescent="0.3">
      <c r="A105">
        <v>27242644</v>
      </c>
      <c r="B105" s="1" t="s">
        <v>8</v>
      </c>
      <c r="C105" s="1" t="s">
        <v>163</v>
      </c>
      <c r="D105" s="1" t="s">
        <v>164</v>
      </c>
      <c r="E105">
        <v>0</v>
      </c>
      <c r="F105">
        <v>0</v>
      </c>
      <c r="G105">
        <v>0</v>
      </c>
      <c r="H105">
        <v>25</v>
      </c>
      <c r="I105">
        <f>vhodni_podatki__1[[#This Row],[HTML]]+vhodni_podatki__1[[#This Row],[LaTeX]]+vhodni_podatki__1[[#This Row],[Excel]]+vhodni_podatki__1[[#This Row],[Mathematica]]</f>
        <v>25</v>
      </c>
      <c r="J105" cm="1">
        <f t="array" ref="J10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106" spans="1:10" x14ac:dyDescent="0.3">
      <c r="A106">
        <v>27242548</v>
      </c>
      <c r="B106" s="1" t="s">
        <v>11</v>
      </c>
      <c r="C106" s="1" t="s">
        <v>140</v>
      </c>
      <c r="D106" s="1" t="s">
        <v>141</v>
      </c>
      <c r="E106">
        <v>19</v>
      </c>
      <c r="F106">
        <v>34</v>
      </c>
      <c r="G106">
        <v>12</v>
      </c>
      <c r="H106">
        <v>26</v>
      </c>
      <c r="I106">
        <f>vhodni_podatki__1[[#This Row],[HTML]]+vhodni_podatki__1[[#This Row],[LaTeX]]+vhodni_podatki__1[[#This Row],[Excel]]+vhodni_podatki__1[[#This Row],[Mathematica]]</f>
        <v>91</v>
      </c>
      <c r="J106" cm="1">
        <f t="array" ref="J10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07" spans="1:10" x14ac:dyDescent="0.3">
      <c r="A107">
        <v>27242960</v>
      </c>
      <c r="B107" s="1" t="s">
        <v>11</v>
      </c>
      <c r="C107" s="1" t="s">
        <v>55</v>
      </c>
      <c r="D107" s="1" t="s">
        <v>226</v>
      </c>
      <c r="E107">
        <v>16</v>
      </c>
      <c r="F107">
        <v>29</v>
      </c>
      <c r="G107">
        <v>12</v>
      </c>
      <c r="H107">
        <v>17</v>
      </c>
      <c r="I107">
        <f>vhodni_podatki__1[[#This Row],[HTML]]+vhodni_podatki__1[[#This Row],[LaTeX]]+vhodni_podatki__1[[#This Row],[Excel]]+vhodni_podatki__1[[#This Row],[Mathematica]]</f>
        <v>74</v>
      </c>
      <c r="J107" cm="1">
        <f t="array" ref="J10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108" spans="1:10" x14ac:dyDescent="0.3">
      <c r="A108">
        <v>27242178</v>
      </c>
      <c r="B108" s="1" t="s">
        <v>8</v>
      </c>
      <c r="C108" s="1" t="s">
        <v>55</v>
      </c>
      <c r="D108" s="1" t="s">
        <v>56</v>
      </c>
      <c r="E108">
        <v>18</v>
      </c>
      <c r="F108">
        <v>36</v>
      </c>
      <c r="G108">
        <v>12</v>
      </c>
      <c r="H108">
        <v>32</v>
      </c>
      <c r="I108">
        <f>vhodni_podatki__1[[#This Row],[HTML]]+vhodni_podatki__1[[#This Row],[LaTeX]]+vhodni_podatki__1[[#This Row],[Excel]]+vhodni_podatki__1[[#This Row],[Mathematica]]</f>
        <v>98</v>
      </c>
      <c r="J108" cm="1">
        <f t="array" ref="J10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09" spans="1:10" x14ac:dyDescent="0.3">
      <c r="A109">
        <v>27242438</v>
      </c>
      <c r="B109" s="1" t="s">
        <v>8</v>
      </c>
      <c r="C109" s="1" t="s">
        <v>81</v>
      </c>
      <c r="D109" s="1" t="s">
        <v>118</v>
      </c>
      <c r="E109">
        <v>13</v>
      </c>
      <c r="F109">
        <v>22</v>
      </c>
      <c r="G109">
        <v>5</v>
      </c>
      <c r="H109">
        <v>30</v>
      </c>
      <c r="I109">
        <f>vhodni_podatki__1[[#This Row],[HTML]]+vhodni_podatki__1[[#This Row],[LaTeX]]+vhodni_podatki__1[[#This Row],[Excel]]+vhodni_podatki__1[[#This Row],[Mathematica]]</f>
        <v>70</v>
      </c>
      <c r="J109" cm="1">
        <f t="array" ref="J10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110" spans="1:10" x14ac:dyDescent="0.3">
      <c r="A110">
        <v>27242298</v>
      </c>
      <c r="B110" s="1" t="s">
        <v>8</v>
      </c>
      <c r="C110" s="1" t="s">
        <v>81</v>
      </c>
      <c r="D110" s="1" t="s">
        <v>82</v>
      </c>
      <c r="E110">
        <v>20</v>
      </c>
      <c r="F110">
        <v>36</v>
      </c>
      <c r="G110">
        <v>12</v>
      </c>
      <c r="H110">
        <v>30</v>
      </c>
      <c r="I110">
        <f>vhodni_podatki__1[[#This Row],[HTML]]+vhodni_podatki__1[[#This Row],[LaTeX]]+vhodni_podatki__1[[#This Row],[Excel]]+vhodni_podatki__1[[#This Row],[Mathematica]]</f>
        <v>98</v>
      </c>
      <c r="J110" cm="1">
        <f t="array" ref="J11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11" spans="1:10" x14ac:dyDescent="0.3">
      <c r="A111">
        <v>27242737</v>
      </c>
      <c r="B111" s="1" t="s">
        <v>8</v>
      </c>
      <c r="C111" s="1" t="s">
        <v>51</v>
      </c>
      <c r="D111" s="1" t="s">
        <v>182</v>
      </c>
      <c r="E111">
        <v>10</v>
      </c>
      <c r="F111">
        <v>17</v>
      </c>
      <c r="G111">
        <v>0</v>
      </c>
      <c r="H111">
        <v>18</v>
      </c>
      <c r="I111">
        <f>vhodni_podatki__1[[#This Row],[HTML]]+vhodni_podatki__1[[#This Row],[LaTeX]]+vhodni_podatki__1[[#This Row],[Excel]]+vhodni_podatki__1[[#This Row],[Mathematica]]</f>
        <v>45</v>
      </c>
      <c r="J111" cm="1">
        <f t="array" ref="J11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112" spans="1:10" x14ac:dyDescent="0.3">
      <c r="A112">
        <v>27242169</v>
      </c>
      <c r="B112" s="1" t="s">
        <v>11</v>
      </c>
      <c r="C112" s="1" t="s">
        <v>51</v>
      </c>
      <c r="D112" s="1" t="s">
        <v>52</v>
      </c>
      <c r="E112">
        <v>0</v>
      </c>
      <c r="F112">
        <v>0</v>
      </c>
      <c r="G112">
        <v>0</v>
      </c>
      <c r="H112">
        <v>0</v>
      </c>
      <c r="I112">
        <f>vhodni_podatki__1[[#This Row],[HTML]]+vhodni_podatki__1[[#This Row],[LaTeX]]+vhodni_podatki__1[[#This Row],[Excel]]+vhodni_podatki__1[[#This Row],[Mathematica]]</f>
        <v>0</v>
      </c>
      <c r="J112" cm="1">
        <f t="array" ref="J11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113" spans="1:10" x14ac:dyDescent="0.3">
      <c r="A113">
        <v>27242089</v>
      </c>
      <c r="B113" s="1" t="s">
        <v>11</v>
      </c>
      <c r="C113" s="1" t="s">
        <v>29</v>
      </c>
      <c r="D113" s="1" t="s">
        <v>30</v>
      </c>
      <c r="E113">
        <v>0</v>
      </c>
      <c r="F113">
        <v>33</v>
      </c>
      <c r="G113">
        <v>0</v>
      </c>
      <c r="H113">
        <v>29</v>
      </c>
      <c r="I113">
        <f>vhodni_podatki__1[[#This Row],[HTML]]+vhodni_podatki__1[[#This Row],[LaTeX]]+vhodni_podatki__1[[#This Row],[Excel]]+vhodni_podatki__1[[#This Row],[Mathematica]]</f>
        <v>62</v>
      </c>
      <c r="J113" cm="1">
        <f t="array" ref="J11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114" spans="1:10" x14ac:dyDescent="0.3">
      <c r="A114">
        <v>27242919</v>
      </c>
      <c r="B114" s="1" t="s">
        <v>8</v>
      </c>
      <c r="C114" s="1" t="s">
        <v>214</v>
      </c>
      <c r="D114" s="1" t="s">
        <v>215</v>
      </c>
      <c r="E114">
        <v>18</v>
      </c>
      <c r="F114">
        <v>31</v>
      </c>
      <c r="G114">
        <v>11</v>
      </c>
      <c r="H114">
        <v>27</v>
      </c>
      <c r="I114">
        <f>vhodni_podatki__1[[#This Row],[HTML]]+vhodni_podatki__1[[#This Row],[LaTeX]]+vhodni_podatki__1[[#This Row],[Excel]]+vhodni_podatki__1[[#This Row],[Mathematica]]</f>
        <v>87</v>
      </c>
      <c r="J114" cm="1">
        <f t="array" ref="J11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115" spans="1:10" x14ac:dyDescent="0.3">
      <c r="A115">
        <v>27242621</v>
      </c>
      <c r="B115" s="1" t="s">
        <v>8</v>
      </c>
      <c r="C115" s="1" t="s">
        <v>159</v>
      </c>
      <c r="D115" s="1" t="s">
        <v>160</v>
      </c>
      <c r="E115">
        <v>0</v>
      </c>
      <c r="F115">
        <v>3</v>
      </c>
      <c r="G115">
        <v>0</v>
      </c>
      <c r="H115">
        <v>0</v>
      </c>
      <c r="I115">
        <f>vhodni_podatki__1[[#This Row],[HTML]]+vhodni_podatki__1[[#This Row],[LaTeX]]+vhodni_podatki__1[[#This Row],[Excel]]+vhodni_podatki__1[[#This Row],[Mathematica]]</f>
        <v>3</v>
      </c>
      <c r="J115" cm="1">
        <f t="array" ref="J11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116" spans="1:10" x14ac:dyDescent="0.3">
      <c r="A116">
        <v>27242474</v>
      </c>
      <c r="B116" s="1" t="s">
        <v>11</v>
      </c>
      <c r="C116" s="1" t="s">
        <v>124</v>
      </c>
      <c r="D116" s="1" t="s">
        <v>125</v>
      </c>
      <c r="E116">
        <v>10</v>
      </c>
      <c r="F116">
        <v>31</v>
      </c>
      <c r="G116">
        <v>12</v>
      </c>
      <c r="H116">
        <v>27</v>
      </c>
      <c r="I116">
        <f>vhodni_podatki__1[[#This Row],[HTML]]+vhodni_podatki__1[[#This Row],[LaTeX]]+vhodni_podatki__1[[#This Row],[Excel]]+vhodni_podatki__1[[#This Row],[Mathematica]]</f>
        <v>80</v>
      </c>
      <c r="J116" cm="1">
        <f t="array" ref="J11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117" spans="1:10" x14ac:dyDescent="0.3">
      <c r="A117">
        <v>27242512</v>
      </c>
      <c r="B117" s="1" t="s">
        <v>8</v>
      </c>
      <c r="C117" s="1" t="s">
        <v>95</v>
      </c>
      <c r="D117" s="1" t="s">
        <v>136</v>
      </c>
      <c r="E117">
        <v>20</v>
      </c>
      <c r="F117">
        <v>32</v>
      </c>
      <c r="G117">
        <v>8</v>
      </c>
      <c r="H117">
        <v>24</v>
      </c>
      <c r="I117">
        <f>vhodni_podatki__1[[#This Row],[HTML]]+vhodni_podatki__1[[#This Row],[LaTeX]]+vhodni_podatki__1[[#This Row],[Excel]]+vhodni_podatki__1[[#This Row],[Mathematica]]</f>
        <v>84</v>
      </c>
      <c r="J117" cm="1">
        <f t="array" ref="J11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118" spans="1:10" x14ac:dyDescent="0.3">
      <c r="A118">
        <v>27242361</v>
      </c>
      <c r="B118" s="1" t="s">
        <v>11</v>
      </c>
      <c r="C118" s="1" t="s">
        <v>95</v>
      </c>
      <c r="D118" s="1" t="s">
        <v>96</v>
      </c>
      <c r="E118">
        <v>0</v>
      </c>
      <c r="F118">
        <v>0</v>
      </c>
      <c r="G118">
        <v>0</v>
      </c>
      <c r="H118">
        <v>0</v>
      </c>
      <c r="I118">
        <f>vhodni_podatki__1[[#This Row],[HTML]]+vhodni_podatki__1[[#This Row],[LaTeX]]+vhodni_podatki__1[[#This Row],[Excel]]+vhodni_podatki__1[[#This Row],[Mathematica]]</f>
        <v>0</v>
      </c>
      <c r="J118" cm="1">
        <f t="array" ref="J11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119" spans="1:10" x14ac:dyDescent="0.3">
      <c r="A119">
        <v>27242498</v>
      </c>
      <c r="B119" s="1" t="s">
        <v>8</v>
      </c>
      <c r="C119" s="1" t="s">
        <v>130</v>
      </c>
      <c r="D119" s="1" t="s">
        <v>131</v>
      </c>
      <c r="E119">
        <v>10</v>
      </c>
      <c r="F119">
        <v>15</v>
      </c>
      <c r="G119">
        <v>9</v>
      </c>
      <c r="H119">
        <v>29</v>
      </c>
      <c r="I119">
        <f>vhodni_podatki__1[[#This Row],[HTML]]+vhodni_podatki__1[[#This Row],[LaTeX]]+vhodni_podatki__1[[#This Row],[Excel]]+vhodni_podatki__1[[#This Row],[Mathematica]]</f>
        <v>63</v>
      </c>
      <c r="J119" cm="1">
        <f t="array" ref="J11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7</v>
      </c>
    </row>
    <row r="120" spans="1:10" x14ac:dyDescent="0.3">
      <c r="A120">
        <v>27242590</v>
      </c>
      <c r="B120" s="1" t="s">
        <v>11</v>
      </c>
      <c r="C120" s="1" t="s">
        <v>150</v>
      </c>
      <c r="D120" s="1" t="s">
        <v>151</v>
      </c>
      <c r="E120">
        <v>0</v>
      </c>
      <c r="F120">
        <v>13</v>
      </c>
      <c r="G120">
        <v>0</v>
      </c>
      <c r="H120">
        <v>23</v>
      </c>
      <c r="I120">
        <f>vhodni_podatki__1[[#This Row],[HTML]]+vhodni_podatki__1[[#This Row],[LaTeX]]+vhodni_podatki__1[[#This Row],[Excel]]+vhodni_podatki__1[[#This Row],[Mathematica]]</f>
        <v>36</v>
      </c>
      <c r="J120" cm="1">
        <f t="array" ref="J12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121" spans="1:10" x14ac:dyDescent="0.3">
      <c r="A121">
        <v>27242829</v>
      </c>
      <c r="B121" s="1" t="s">
        <v>11</v>
      </c>
      <c r="C121" s="1" t="s">
        <v>196</v>
      </c>
      <c r="D121" s="1" t="s">
        <v>197</v>
      </c>
      <c r="E121">
        <v>16</v>
      </c>
      <c r="F121">
        <v>33</v>
      </c>
      <c r="G121">
        <v>12</v>
      </c>
      <c r="H121">
        <v>28</v>
      </c>
      <c r="I121">
        <f>vhodni_podatki__1[[#This Row],[HTML]]+vhodni_podatki__1[[#This Row],[LaTeX]]+vhodni_podatki__1[[#This Row],[Excel]]+vhodni_podatki__1[[#This Row],[Mathematica]]</f>
        <v>89</v>
      </c>
      <c r="J121" cm="1">
        <f t="array" ref="J12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122" spans="1:10" x14ac:dyDescent="0.3">
      <c r="A122">
        <v>27242869</v>
      </c>
      <c r="B122" s="1" t="s">
        <v>11</v>
      </c>
      <c r="C122" s="1" t="s">
        <v>202</v>
      </c>
      <c r="D122" s="1" t="s">
        <v>203</v>
      </c>
      <c r="E122">
        <v>19</v>
      </c>
      <c r="F122">
        <v>24</v>
      </c>
      <c r="G122">
        <v>12</v>
      </c>
      <c r="H122">
        <v>29</v>
      </c>
      <c r="I122">
        <f>vhodni_podatki__1[[#This Row],[HTML]]+vhodni_podatki__1[[#This Row],[LaTeX]]+vhodni_podatki__1[[#This Row],[Excel]]+vhodni_podatki__1[[#This Row],[Mathematica]]</f>
        <v>84</v>
      </c>
      <c r="J122" cm="1">
        <f t="array" ref="J12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9</v>
      </c>
    </row>
    <row r="123" spans="1:10" x14ac:dyDescent="0.3">
      <c r="A123">
        <v>27242312</v>
      </c>
      <c r="B123" s="1" t="s">
        <v>67</v>
      </c>
      <c r="C123" s="1" t="s">
        <v>85</v>
      </c>
      <c r="D123" s="1" t="s">
        <v>86</v>
      </c>
      <c r="E123">
        <v>19</v>
      </c>
      <c r="F123">
        <v>24</v>
      </c>
      <c r="G123">
        <v>12</v>
      </c>
      <c r="H123">
        <v>15</v>
      </c>
      <c r="I123">
        <f>vhodni_podatki__1[[#This Row],[HTML]]+vhodni_podatki__1[[#This Row],[LaTeX]]+vhodni_podatki__1[[#This Row],[Excel]]+vhodni_podatki__1[[#This Row],[Mathematica]]</f>
        <v>70</v>
      </c>
      <c r="J123" cm="1">
        <f t="array" ref="J12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124" spans="1:10" x14ac:dyDescent="0.3">
      <c r="A124">
        <v>27242717</v>
      </c>
      <c r="B124" s="1" t="s">
        <v>11</v>
      </c>
      <c r="C124" s="1" t="s">
        <v>85</v>
      </c>
      <c r="D124" s="1" t="s">
        <v>180</v>
      </c>
      <c r="E124">
        <v>17</v>
      </c>
      <c r="F124">
        <v>19</v>
      </c>
      <c r="G124">
        <v>12</v>
      </c>
      <c r="H124">
        <v>28</v>
      </c>
      <c r="I124">
        <f>vhodni_podatki__1[[#This Row],[HTML]]+vhodni_podatki__1[[#This Row],[LaTeX]]+vhodni_podatki__1[[#This Row],[Excel]]+vhodni_podatki__1[[#This Row],[Mathematica]]</f>
        <v>76</v>
      </c>
      <c r="J124" cm="1">
        <f t="array" ref="J12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125" spans="1:10" x14ac:dyDescent="0.3">
      <c r="A125">
        <v>27242108</v>
      </c>
      <c r="B125" s="1" t="s">
        <v>8</v>
      </c>
      <c r="C125" s="1" t="s">
        <v>39</v>
      </c>
      <c r="D125" s="1" t="s">
        <v>40</v>
      </c>
      <c r="E125">
        <v>17</v>
      </c>
      <c r="F125">
        <v>35</v>
      </c>
      <c r="G125">
        <v>12</v>
      </c>
      <c r="H125">
        <v>32</v>
      </c>
      <c r="I125">
        <f>vhodni_podatki__1[[#This Row],[HTML]]+vhodni_podatki__1[[#This Row],[LaTeX]]+vhodni_podatki__1[[#This Row],[Excel]]+vhodni_podatki__1[[#This Row],[Mathematica]]</f>
        <v>96</v>
      </c>
      <c r="J125" cm="1">
        <f t="array" ref="J12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26" spans="1:10" x14ac:dyDescent="0.3">
      <c r="A126">
        <v>27242958</v>
      </c>
      <c r="B126" s="1" t="s">
        <v>67</v>
      </c>
      <c r="C126" s="1" t="s">
        <v>53</v>
      </c>
      <c r="D126" s="1" t="s">
        <v>225</v>
      </c>
      <c r="E126">
        <v>0</v>
      </c>
      <c r="F126">
        <v>9</v>
      </c>
      <c r="G126">
        <v>9</v>
      </c>
      <c r="H126">
        <v>17</v>
      </c>
      <c r="I126">
        <f>vhodni_podatki__1[[#This Row],[HTML]]+vhodni_podatki__1[[#This Row],[LaTeX]]+vhodni_podatki__1[[#This Row],[Excel]]+vhodni_podatki__1[[#This Row],[Mathematica]]</f>
        <v>35</v>
      </c>
      <c r="J126" cm="1">
        <f t="array" ref="J126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127" spans="1:10" x14ac:dyDescent="0.3">
      <c r="A127">
        <v>27242174</v>
      </c>
      <c r="B127" s="1" t="s">
        <v>8</v>
      </c>
      <c r="C127" s="1" t="s">
        <v>53</v>
      </c>
      <c r="D127" s="1" t="s">
        <v>54</v>
      </c>
      <c r="E127">
        <v>20</v>
      </c>
      <c r="F127">
        <v>35</v>
      </c>
      <c r="G127">
        <v>12</v>
      </c>
      <c r="H127">
        <v>29</v>
      </c>
      <c r="I127">
        <f>vhodni_podatki__1[[#This Row],[HTML]]+vhodni_podatki__1[[#This Row],[LaTeX]]+vhodni_podatki__1[[#This Row],[Excel]]+vhodni_podatki__1[[#This Row],[Mathematica]]</f>
        <v>96</v>
      </c>
      <c r="J127" cm="1">
        <f t="array" ref="J127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28" spans="1:10" x14ac:dyDescent="0.3">
      <c r="A128">
        <v>28242114</v>
      </c>
      <c r="B128" s="1" t="s">
        <v>236</v>
      </c>
      <c r="C128" s="1" t="s">
        <v>237</v>
      </c>
      <c r="D128" s="1" t="s">
        <v>238</v>
      </c>
      <c r="E128">
        <v>0</v>
      </c>
      <c r="F128">
        <v>0</v>
      </c>
      <c r="G128">
        <v>0</v>
      </c>
      <c r="H128">
        <v>0</v>
      </c>
      <c r="I128">
        <f>vhodni_podatki__1[[#This Row],[HTML]]+vhodni_podatki__1[[#This Row],[LaTeX]]+vhodni_podatki__1[[#This Row],[Excel]]+vhodni_podatki__1[[#This Row],[Mathematica]]</f>
        <v>0</v>
      </c>
      <c r="J128" cm="1">
        <f t="array" ref="J128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129" spans="1:10" x14ac:dyDescent="0.3">
      <c r="A129">
        <v>27242102</v>
      </c>
      <c r="B129" s="1" t="s">
        <v>8</v>
      </c>
      <c r="C129" s="1" t="s">
        <v>37</v>
      </c>
      <c r="D129" s="1" t="s">
        <v>38</v>
      </c>
      <c r="E129">
        <v>20</v>
      </c>
      <c r="F129">
        <v>36</v>
      </c>
      <c r="G129">
        <v>12</v>
      </c>
      <c r="H129">
        <v>27</v>
      </c>
      <c r="I129">
        <f>vhodni_podatki__1[[#This Row],[HTML]]+vhodni_podatki__1[[#This Row],[LaTeX]]+vhodni_podatki__1[[#This Row],[Excel]]+vhodni_podatki__1[[#This Row],[Mathematica]]</f>
        <v>95</v>
      </c>
      <c r="J129" cm="1">
        <f t="array" ref="J129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30" spans="1:10" x14ac:dyDescent="0.3">
      <c r="A130">
        <v>27242677</v>
      </c>
      <c r="B130" s="1" t="s">
        <v>16</v>
      </c>
      <c r="C130" s="1" t="s">
        <v>167</v>
      </c>
      <c r="D130" s="1" t="s">
        <v>168</v>
      </c>
      <c r="E130">
        <v>20</v>
      </c>
      <c r="F130">
        <v>33</v>
      </c>
      <c r="G130">
        <v>12</v>
      </c>
      <c r="H130">
        <v>30</v>
      </c>
      <c r="I130">
        <f>vhodni_podatki__1[[#This Row],[HTML]]+vhodni_podatki__1[[#This Row],[LaTeX]]+vhodni_podatki__1[[#This Row],[Excel]]+vhodni_podatki__1[[#This Row],[Mathematica]]</f>
        <v>95</v>
      </c>
      <c r="J130" cm="1">
        <f t="array" ref="J130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31" spans="1:10" x14ac:dyDescent="0.3">
      <c r="A131">
        <v>27242539</v>
      </c>
      <c r="B131" s="1" t="s">
        <v>8</v>
      </c>
      <c r="C131" s="1" t="s">
        <v>139</v>
      </c>
      <c r="D131" s="1" t="s">
        <v>104</v>
      </c>
      <c r="E131">
        <v>0</v>
      </c>
      <c r="F131">
        <v>7</v>
      </c>
      <c r="G131">
        <v>0</v>
      </c>
      <c r="H131">
        <v>16</v>
      </c>
      <c r="I131">
        <f>vhodni_podatki__1[[#This Row],[HTML]]+vhodni_podatki__1[[#This Row],[LaTeX]]+vhodni_podatki__1[[#This Row],[Excel]]+vhodni_podatki__1[[#This Row],[Mathematica]]</f>
        <v>23</v>
      </c>
      <c r="J131" cm="1">
        <f t="array" ref="J131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5</v>
      </c>
    </row>
    <row r="132" spans="1:10" x14ac:dyDescent="0.3">
      <c r="A132">
        <v>27242732</v>
      </c>
      <c r="B132" s="1" t="s">
        <v>8</v>
      </c>
      <c r="C132" s="1" t="s">
        <v>139</v>
      </c>
      <c r="D132" s="1" t="s">
        <v>181</v>
      </c>
      <c r="E132">
        <v>19</v>
      </c>
      <c r="F132">
        <v>32</v>
      </c>
      <c r="G132">
        <v>9</v>
      </c>
      <c r="H132">
        <v>19</v>
      </c>
      <c r="I132">
        <f>vhodni_podatki__1[[#This Row],[HTML]]+vhodni_podatki__1[[#This Row],[LaTeX]]+vhodni_podatki__1[[#This Row],[Excel]]+vhodni_podatki__1[[#This Row],[Mathematica]]</f>
        <v>79</v>
      </c>
      <c r="J132" cm="1">
        <f t="array" ref="J132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133" spans="1:10" x14ac:dyDescent="0.3">
      <c r="A133">
        <v>27242153</v>
      </c>
      <c r="B133" s="1" t="s">
        <v>8</v>
      </c>
      <c r="C133" s="1" t="s">
        <v>12</v>
      </c>
      <c r="D133" s="1" t="s">
        <v>47</v>
      </c>
      <c r="E133">
        <v>15</v>
      </c>
      <c r="F133">
        <v>36</v>
      </c>
      <c r="G133">
        <v>12</v>
      </c>
      <c r="H133">
        <v>32</v>
      </c>
      <c r="I133">
        <f>vhodni_podatki__1[[#This Row],[HTML]]+vhodni_podatki__1[[#This Row],[LaTeX]]+vhodni_podatki__1[[#This Row],[Excel]]+vhodni_podatki__1[[#This Row],[Mathematica]]</f>
        <v>95</v>
      </c>
      <c r="J133" cm="1">
        <f t="array" ref="J133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  <row r="134" spans="1:10" x14ac:dyDescent="0.3">
      <c r="A134">
        <v>27242013</v>
      </c>
      <c r="B134" s="1" t="s">
        <v>11</v>
      </c>
      <c r="C134" s="1" t="s">
        <v>12</v>
      </c>
      <c r="D134" s="1" t="s">
        <v>13</v>
      </c>
      <c r="E134">
        <v>18</v>
      </c>
      <c r="F134">
        <v>17</v>
      </c>
      <c r="G134">
        <v>12</v>
      </c>
      <c r="H134">
        <v>23</v>
      </c>
      <c r="I134">
        <f>vhodni_podatki__1[[#This Row],[HTML]]+vhodni_podatki__1[[#This Row],[LaTeX]]+vhodni_podatki__1[[#This Row],[Excel]]+vhodni_podatki__1[[#This Row],[Mathematica]]</f>
        <v>70</v>
      </c>
      <c r="J134" cm="1">
        <f t="array" ref="J134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8</v>
      </c>
    </row>
    <row r="135" spans="1:10" x14ac:dyDescent="0.3">
      <c r="A135">
        <v>27242695</v>
      </c>
      <c r="B135" s="1" t="s">
        <v>67</v>
      </c>
      <c r="C135" s="1" t="s">
        <v>175</v>
      </c>
      <c r="D135" s="1" t="s">
        <v>176</v>
      </c>
      <c r="E135">
        <v>20</v>
      </c>
      <c r="F135">
        <v>36</v>
      </c>
      <c r="G135">
        <v>12</v>
      </c>
      <c r="H135">
        <v>31</v>
      </c>
      <c r="I135">
        <f>vhodni_podatki__1[[#This Row],[HTML]]+vhodni_podatki__1[[#This Row],[LaTeX]]+vhodni_podatki__1[[#This Row],[Excel]]+vhodni_podatki__1[[#This Row],[Mathematica]]</f>
        <v>99</v>
      </c>
      <c r="J135" cm="1">
        <f t="array" ref="J135">_xlfn.IFS(vhodni_podatki__1[[#This Row],[Skupno]]&gt;=90,10,vhodni_podatki__1[[#This Row],[Skupno]]&gt;=80,9,vhodni_podatki__1[[#This Row],[Skupno]]&gt;=70,8,vhodni_podatki__1[[#This Row],[Skupno]]&gt;=60,7,vhodni_podatki__1[[#This Row],[Skupno]]&gt;=50,6,vhodni_podatki__1[[#This Row],[Skupno]]&lt;50,5)</f>
        <v>10</v>
      </c>
    </row>
  </sheetData>
  <conditionalFormatting sqref="I2:I135">
    <cfRule type="cellIs" dxfId="2" priority="2" operator="greaterThanOrEqual">
      <formula>90</formula>
    </cfRule>
    <cfRule type="cellIs" dxfId="1" priority="1" operator="lessThan">
      <formula>50</formula>
    </cfRule>
  </conditionalFormatting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92287C-4A9E-4F31-9EF7-629E643882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vhodni-podatki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Jamnik</dc:creator>
  <cp:lastModifiedBy>Matej Jamnik</cp:lastModifiedBy>
  <dcterms:created xsi:type="dcterms:W3CDTF">2026-01-27T19:11:46Z</dcterms:created>
  <dcterms:modified xsi:type="dcterms:W3CDTF">2026-01-27T19:27:20Z</dcterms:modified>
</cp:coreProperties>
</file>