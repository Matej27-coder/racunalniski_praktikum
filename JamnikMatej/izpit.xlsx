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02255\Documents\izpit\"/>
    </mc:Choice>
  </mc:AlternateContent>
  <xr:revisionPtr revIDLastSave="0" documentId="13_ncr:1_{AF40D912-4698-400E-A9F1-D10B85EEB4A3}" xr6:coauthVersionLast="47" xr6:coauthVersionMax="47" xr10:uidLastSave="{00000000-0000-0000-0000-000000000000}"/>
  <bookViews>
    <workbookView xWindow="-120" yWindow="-120" windowWidth="29040" windowHeight="15720" xr2:uid="{E135CC91-4C9A-4B75-A6EF-C1FB4B2D7DAF}"/>
  </bookViews>
  <sheets>
    <sheet name="izpit" sheetId="2" r:id="rId1"/>
    <sheet name="Sheet1" sheetId="1" r:id="rId2"/>
  </sheets>
  <definedNames>
    <definedName name="ExternalData_1" localSheetId="0" hidden="1">izpit!$A$1:$F$114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0B82F-535B-40EC-88CA-131D96DDC3BA}" keepAlive="1" name="Query - izpit" description="Connection to the 'izpit' query in the workbook." type="5" refreshedVersion="7" background="1" saveData="1">
    <dbPr connection="Provider=Microsoft.Mashup.OleDb.1;Data Source=$Workbook$;Location=izpit;Extended Properties=&quot;&quot;" command="SELECT * FROM [izpit]"/>
  </connection>
</connections>
</file>

<file path=xl/sharedStrings.xml><?xml version="1.0" encoding="utf-8"?>
<sst xmlns="http://schemas.openxmlformats.org/spreadsheetml/2006/main" count="361" uniqueCount="23">
  <si>
    <t>vpisna</t>
  </si>
  <si>
    <t>program</t>
  </si>
  <si>
    <t>računalnik</t>
  </si>
  <si>
    <t>termin</t>
  </si>
  <si>
    <t>učilnica</t>
  </si>
  <si>
    <t>točke</t>
  </si>
  <si>
    <t>FIN</t>
  </si>
  <si>
    <t>svoj</t>
  </si>
  <si>
    <t>3.10</t>
  </si>
  <si>
    <t>šolski</t>
  </si>
  <si>
    <t>APM</t>
  </si>
  <si>
    <t>MAT</t>
  </si>
  <si>
    <t>APF</t>
  </si>
  <si>
    <t>3.11</t>
  </si>
  <si>
    <t>PED</t>
  </si>
  <si>
    <t>3.12</t>
  </si>
  <si>
    <t>P.01</t>
  </si>
  <si>
    <t>P.02</t>
  </si>
  <si>
    <t>ocena</t>
  </si>
  <si>
    <t>Row Labels</t>
  </si>
  <si>
    <t>Grand Total</t>
  </si>
  <si>
    <t>Column Labels</t>
  </si>
  <si>
    <t>Average of 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</si>
</sst>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nik, Matej" refreshedDate="46050.5871625" createdVersion="7" refreshedVersion="7" minRefreshableVersion="3" recordCount="113" xr:uid="{82084D1D-9631-4AC8-ADC7-7E7800861A8A}">
  <cacheSource type="worksheet">
    <worksheetSource name="izpit"/>
  </cacheSource>
  <cacheFields count="7">
    <cacheField name="vpisna" numFmtId="0">
      <sharedItems containsSemiMixedTypes="0" containsString="0" containsNumber="1" containsInteger="1" minValue="42005012" maxValue="42998925"/>
    </cacheField>
    <cacheField name="program" numFmtId="0">
      <sharedItems count="5">
        <s v="APF"/>
        <s v="MAT"/>
        <s v="PED"/>
        <s v="FIN"/>
        <s v="APM"/>
      </sharedItems>
    </cacheField>
    <cacheField name="računalnik" numFmtId="0">
      <sharedItems/>
    </cacheField>
    <cacheField name="termin" numFmtId="165">
      <sharedItems containsSemiMixedTypes="0" containsNonDate="0" containsDate="1" containsString="0" minDate="1899-12-30T09:00:00" maxDate="1899-12-30T12:00:00"/>
    </cacheField>
    <cacheField name="učilnica" numFmtId="0">
      <sharedItems count="5">
        <s v="P.01"/>
        <s v="P.02"/>
        <s v="3.11"/>
        <s v="3.10"/>
        <s v="3.12"/>
      </sharedItems>
    </cacheField>
    <cacheField name="točke" numFmtId="0">
      <sharedItems containsSemiMixedTypes="0" containsString="0" containsNumber="1" containsInteger="1" minValue="30" maxValue="99"/>
    </cacheField>
    <cacheField name="ocena" numFmtId="1">
      <sharedItems containsSemiMixedTypes="0" containsString="0" containsNumber="1" containsInteg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42005012"/>
    <x v="0"/>
    <s v="svoj"/>
    <d v="1899-12-30T12:00:00"/>
    <x v="0"/>
    <n v="65"/>
    <n v="7"/>
  </r>
  <r>
    <n v="42011306"/>
    <x v="1"/>
    <s v="svoj"/>
    <d v="1899-12-30T12:00:00"/>
    <x v="0"/>
    <n v="65"/>
    <n v="7"/>
  </r>
  <r>
    <n v="42011847"/>
    <x v="2"/>
    <s v="svoj"/>
    <d v="1899-12-30T12:00:00"/>
    <x v="1"/>
    <n v="72"/>
    <n v="8"/>
  </r>
  <r>
    <n v="42027302"/>
    <x v="1"/>
    <s v="svoj"/>
    <d v="1899-12-30T09:00:00"/>
    <x v="0"/>
    <n v="66"/>
    <n v="7"/>
  </r>
  <r>
    <n v="42030712"/>
    <x v="3"/>
    <s v="svoj"/>
    <d v="1899-12-30T12:00:00"/>
    <x v="1"/>
    <n v="76"/>
    <n v="8"/>
  </r>
  <r>
    <n v="42031928"/>
    <x v="1"/>
    <s v="šolski"/>
    <d v="1899-12-30T09:00:00"/>
    <x v="2"/>
    <n v="48"/>
    <n v="5"/>
  </r>
  <r>
    <n v="42033704"/>
    <x v="3"/>
    <s v="svoj"/>
    <d v="1899-12-30T09:00:00"/>
    <x v="1"/>
    <n v="95"/>
    <n v="10"/>
  </r>
  <r>
    <n v="42037786"/>
    <x v="3"/>
    <s v="svoj"/>
    <d v="1899-12-30T09:00:00"/>
    <x v="3"/>
    <n v="97"/>
    <n v="10"/>
  </r>
  <r>
    <n v="42054004"/>
    <x v="3"/>
    <s v="šolski"/>
    <d v="1899-12-30T09:00:00"/>
    <x v="2"/>
    <n v="52"/>
    <n v="6"/>
  </r>
  <r>
    <n v="42068536"/>
    <x v="3"/>
    <s v="svoj"/>
    <d v="1899-12-30T09:00:00"/>
    <x v="1"/>
    <n v="95"/>
    <n v="10"/>
  </r>
  <r>
    <n v="42079418"/>
    <x v="3"/>
    <s v="svoj"/>
    <d v="1899-12-30T09:00:00"/>
    <x v="0"/>
    <n v="88"/>
    <n v="9"/>
  </r>
  <r>
    <n v="42085985"/>
    <x v="1"/>
    <s v="svoj"/>
    <d v="1899-12-30T09:00:00"/>
    <x v="1"/>
    <n v="91"/>
    <n v="10"/>
  </r>
  <r>
    <n v="42088685"/>
    <x v="1"/>
    <s v="svoj"/>
    <d v="1899-12-30T12:00:00"/>
    <x v="1"/>
    <n v="39"/>
    <n v="4"/>
  </r>
  <r>
    <n v="42089481"/>
    <x v="3"/>
    <s v="svoj"/>
    <d v="1899-12-30T09:00:00"/>
    <x v="0"/>
    <n v="90"/>
    <n v="10"/>
  </r>
  <r>
    <n v="42089658"/>
    <x v="3"/>
    <s v="svoj"/>
    <d v="1899-12-30T09:00:00"/>
    <x v="1"/>
    <n v="50"/>
    <n v="6"/>
  </r>
  <r>
    <n v="42090614"/>
    <x v="3"/>
    <s v="svoj"/>
    <d v="1899-12-30T09:00:00"/>
    <x v="0"/>
    <n v="99"/>
    <n v="10"/>
  </r>
  <r>
    <n v="42092101"/>
    <x v="0"/>
    <s v="svoj"/>
    <d v="1899-12-30T09:00:00"/>
    <x v="1"/>
    <n v="57"/>
    <n v="6"/>
  </r>
  <r>
    <n v="42097631"/>
    <x v="3"/>
    <s v="šolski"/>
    <d v="1899-12-30T12:00:00"/>
    <x v="2"/>
    <n v="81"/>
    <n v="9"/>
  </r>
  <r>
    <n v="42105687"/>
    <x v="3"/>
    <s v="šolski"/>
    <d v="1899-12-30T12:00:00"/>
    <x v="3"/>
    <n v="93"/>
    <n v="10"/>
  </r>
  <r>
    <n v="42134424"/>
    <x v="0"/>
    <s v="svoj"/>
    <d v="1899-12-30T09:00:00"/>
    <x v="1"/>
    <n v="50"/>
    <n v="6"/>
  </r>
  <r>
    <n v="42145758"/>
    <x v="3"/>
    <s v="svoj"/>
    <d v="1899-12-30T12:00:00"/>
    <x v="1"/>
    <n v="57"/>
    <n v="6"/>
  </r>
  <r>
    <n v="42156966"/>
    <x v="3"/>
    <s v="svoj"/>
    <d v="1899-12-30T09:00:00"/>
    <x v="1"/>
    <n v="95"/>
    <n v="10"/>
  </r>
  <r>
    <n v="42157802"/>
    <x v="4"/>
    <s v="šolski"/>
    <d v="1899-12-30T09:00:00"/>
    <x v="3"/>
    <n v="75"/>
    <n v="8"/>
  </r>
  <r>
    <n v="42159529"/>
    <x v="1"/>
    <s v="šolski"/>
    <d v="1899-12-30T09:00:00"/>
    <x v="2"/>
    <n v="44"/>
    <n v="5"/>
  </r>
  <r>
    <n v="42167815"/>
    <x v="1"/>
    <s v="svoj"/>
    <d v="1899-12-30T09:00:00"/>
    <x v="0"/>
    <n v="44"/>
    <n v="5"/>
  </r>
  <r>
    <n v="42176765"/>
    <x v="3"/>
    <s v="svoj"/>
    <d v="1899-12-30T12:00:00"/>
    <x v="1"/>
    <n v="99"/>
    <n v="10"/>
  </r>
  <r>
    <n v="42188922"/>
    <x v="3"/>
    <s v="svoj"/>
    <d v="1899-12-30T09:00:00"/>
    <x v="0"/>
    <n v="40"/>
    <n v="5"/>
  </r>
  <r>
    <n v="42214702"/>
    <x v="0"/>
    <s v="šolski"/>
    <d v="1899-12-30T12:00:00"/>
    <x v="2"/>
    <n v="40"/>
    <n v="5"/>
  </r>
  <r>
    <n v="42226795"/>
    <x v="3"/>
    <s v="svoj"/>
    <d v="1899-12-30T12:00:00"/>
    <x v="1"/>
    <n v="89"/>
    <n v="9"/>
  </r>
  <r>
    <n v="42244062"/>
    <x v="3"/>
    <s v="svoj"/>
    <d v="1899-12-30T09:00:00"/>
    <x v="1"/>
    <n v="58"/>
    <n v="6"/>
  </r>
  <r>
    <n v="42252869"/>
    <x v="3"/>
    <s v="šolski"/>
    <d v="1899-12-30T12:00:00"/>
    <x v="4"/>
    <n v="86"/>
    <n v="9"/>
  </r>
  <r>
    <n v="42279665"/>
    <x v="3"/>
    <s v="šolski"/>
    <d v="1899-12-30T12:00:00"/>
    <x v="4"/>
    <n v="89"/>
    <n v="9"/>
  </r>
  <r>
    <n v="42280293"/>
    <x v="0"/>
    <s v="šolski"/>
    <d v="1899-12-30T12:00:00"/>
    <x v="2"/>
    <n v="73"/>
    <n v="8"/>
  </r>
  <r>
    <n v="42290669"/>
    <x v="1"/>
    <s v="šolski"/>
    <d v="1899-12-30T09:00:00"/>
    <x v="2"/>
    <n v="75"/>
    <n v="8"/>
  </r>
  <r>
    <n v="42290675"/>
    <x v="4"/>
    <s v="šolski"/>
    <d v="1899-12-30T12:00:00"/>
    <x v="4"/>
    <n v="60"/>
    <n v="7"/>
  </r>
  <r>
    <n v="42300407"/>
    <x v="3"/>
    <s v="svoj"/>
    <d v="1899-12-30T09:00:00"/>
    <x v="0"/>
    <n v="81"/>
    <n v="9"/>
  </r>
  <r>
    <n v="42305829"/>
    <x v="4"/>
    <s v="šolski"/>
    <d v="1899-12-30T12:00:00"/>
    <x v="2"/>
    <n v="87"/>
    <n v="9"/>
  </r>
  <r>
    <n v="42322062"/>
    <x v="3"/>
    <s v="svoj"/>
    <d v="1899-12-30T12:00:00"/>
    <x v="1"/>
    <n v="39"/>
    <n v="4"/>
  </r>
  <r>
    <n v="42322588"/>
    <x v="3"/>
    <s v="svoj"/>
    <d v="1899-12-30T09:00:00"/>
    <x v="3"/>
    <n v="93"/>
    <n v="10"/>
  </r>
  <r>
    <n v="42337368"/>
    <x v="1"/>
    <s v="šolski"/>
    <d v="1899-12-30T12:00:00"/>
    <x v="4"/>
    <n v="95"/>
    <n v="10"/>
  </r>
  <r>
    <n v="42365094"/>
    <x v="3"/>
    <s v="šolski"/>
    <d v="1899-12-30T09:00:00"/>
    <x v="2"/>
    <n v="52"/>
    <n v="6"/>
  </r>
  <r>
    <n v="42366248"/>
    <x v="3"/>
    <s v="svoj"/>
    <d v="1899-12-30T09:00:00"/>
    <x v="3"/>
    <n v="73"/>
    <n v="8"/>
  </r>
  <r>
    <n v="42369992"/>
    <x v="3"/>
    <s v="šolski"/>
    <d v="1899-12-30T12:00:00"/>
    <x v="0"/>
    <n v="81"/>
    <n v="9"/>
  </r>
  <r>
    <n v="42380454"/>
    <x v="1"/>
    <s v="svoj"/>
    <d v="1899-12-30T09:00:00"/>
    <x v="1"/>
    <n v="44"/>
    <n v="5"/>
  </r>
  <r>
    <n v="42390797"/>
    <x v="3"/>
    <s v="svoj"/>
    <d v="1899-12-30T09:00:00"/>
    <x v="3"/>
    <n v="42"/>
    <n v="5"/>
  </r>
  <r>
    <n v="42394484"/>
    <x v="3"/>
    <s v="šolski"/>
    <d v="1899-12-30T09:00:00"/>
    <x v="2"/>
    <n v="96"/>
    <n v="10"/>
  </r>
  <r>
    <n v="42417040"/>
    <x v="1"/>
    <s v="svoj"/>
    <d v="1899-12-30T12:00:00"/>
    <x v="1"/>
    <n v="63"/>
    <n v="7"/>
  </r>
  <r>
    <n v="42430639"/>
    <x v="4"/>
    <s v="šolski"/>
    <d v="1899-12-30T12:00:00"/>
    <x v="3"/>
    <n v="74"/>
    <n v="8"/>
  </r>
  <r>
    <n v="42432794"/>
    <x v="4"/>
    <s v="šolski"/>
    <d v="1899-12-30T12:00:00"/>
    <x v="2"/>
    <n v="95"/>
    <n v="10"/>
  </r>
  <r>
    <n v="42441744"/>
    <x v="0"/>
    <s v="svoj"/>
    <d v="1899-12-30T12:00:00"/>
    <x v="0"/>
    <n v="83"/>
    <n v="9"/>
  </r>
  <r>
    <n v="42452711"/>
    <x v="1"/>
    <s v="svoj"/>
    <d v="1899-12-30T09:00:00"/>
    <x v="1"/>
    <n v="89"/>
    <n v="9"/>
  </r>
  <r>
    <n v="42459525"/>
    <x v="2"/>
    <s v="svoj"/>
    <d v="1899-12-30T12:00:00"/>
    <x v="0"/>
    <n v="50"/>
    <n v="6"/>
  </r>
  <r>
    <n v="42480240"/>
    <x v="1"/>
    <s v="svoj"/>
    <d v="1899-12-30T09:00:00"/>
    <x v="3"/>
    <n v="93"/>
    <n v="10"/>
  </r>
  <r>
    <n v="42492894"/>
    <x v="1"/>
    <s v="svoj"/>
    <d v="1899-12-30T09:00:00"/>
    <x v="0"/>
    <n v="65"/>
    <n v="7"/>
  </r>
  <r>
    <n v="42495814"/>
    <x v="1"/>
    <s v="svoj"/>
    <d v="1899-12-30T09:00:00"/>
    <x v="3"/>
    <n v="87"/>
    <n v="9"/>
  </r>
  <r>
    <n v="42509452"/>
    <x v="3"/>
    <s v="šolski"/>
    <d v="1899-12-30T12:00:00"/>
    <x v="4"/>
    <n v="72"/>
    <n v="8"/>
  </r>
  <r>
    <n v="42510733"/>
    <x v="4"/>
    <s v="svoj"/>
    <d v="1899-12-30T12:00:00"/>
    <x v="1"/>
    <n v="61"/>
    <n v="7"/>
  </r>
  <r>
    <n v="42520768"/>
    <x v="1"/>
    <s v="šolski"/>
    <d v="1899-12-30T09:00:00"/>
    <x v="2"/>
    <n v="58"/>
    <n v="6"/>
  </r>
  <r>
    <n v="42527663"/>
    <x v="4"/>
    <s v="šolski"/>
    <d v="1899-12-30T12:00:00"/>
    <x v="4"/>
    <n v="34"/>
    <n v="4"/>
  </r>
  <r>
    <n v="42529619"/>
    <x v="1"/>
    <s v="šolski"/>
    <d v="1899-12-30T09:00:00"/>
    <x v="2"/>
    <n v="63"/>
    <n v="7"/>
  </r>
  <r>
    <n v="42533283"/>
    <x v="2"/>
    <s v="svoj"/>
    <d v="1899-12-30T12:00:00"/>
    <x v="0"/>
    <n v="56"/>
    <n v="6"/>
  </r>
  <r>
    <n v="42544595"/>
    <x v="4"/>
    <s v="svoj"/>
    <d v="1899-12-30T09:00:00"/>
    <x v="1"/>
    <n v="39"/>
    <n v="4"/>
  </r>
  <r>
    <n v="42551468"/>
    <x v="0"/>
    <s v="šolski"/>
    <d v="1899-12-30T12:00:00"/>
    <x v="0"/>
    <n v="50"/>
    <n v="6"/>
  </r>
  <r>
    <n v="42568611"/>
    <x v="3"/>
    <s v="šolski"/>
    <d v="1899-12-30T12:00:00"/>
    <x v="3"/>
    <n v="64"/>
    <n v="7"/>
  </r>
  <r>
    <n v="42573808"/>
    <x v="1"/>
    <s v="šolski"/>
    <d v="1899-12-30T12:00:00"/>
    <x v="3"/>
    <n v="88"/>
    <n v="9"/>
  </r>
  <r>
    <n v="42574445"/>
    <x v="2"/>
    <s v="šolski"/>
    <d v="1899-12-30T12:00:00"/>
    <x v="0"/>
    <n v="96"/>
    <n v="10"/>
  </r>
  <r>
    <n v="42575161"/>
    <x v="0"/>
    <s v="svoj"/>
    <d v="1899-12-30T09:00:00"/>
    <x v="3"/>
    <n v="46"/>
    <n v="5"/>
  </r>
  <r>
    <n v="42583141"/>
    <x v="3"/>
    <s v="šolski"/>
    <d v="1899-12-30T09:00:00"/>
    <x v="2"/>
    <n v="69"/>
    <n v="7"/>
  </r>
  <r>
    <n v="42586867"/>
    <x v="1"/>
    <s v="šolski"/>
    <d v="1899-12-30T12:00:00"/>
    <x v="4"/>
    <n v="92"/>
    <n v="10"/>
  </r>
  <r>
    <n v="42591438"/>
    <x v="1"/>
    <s v="šolski"/>
    <d v="1899-12-30T12:00:00"/>
    <x v="2"/>
    <n v="73"/>
    <n v="8"/>
  </r>
  <r>
    <n v="42620407"/>
    <x v="1"/>
    <s v="svoj"/>
    <d v="1899-12-30T12:00:00"/>
    <x v="1"/>
    <n v="34"/>
    <n v="4"/>
  </r>
  <r>
    <n v="42629108"/>
    <x v="3"/>
    <s v="šolski"/>
    <d v="1899-12-30T09:00:00"/>
    <x v="2"/>
    <n v="48"/>
    <n v="5"/>
  </r>
  <r>
    <n v="42632945"/>
    <x v="3"/>
    <s v="svoj"/>
    <d v="1899-12-30T09:00:00"/>
    <x v="1"/>
    <n v="71"/>
    <n v="8"/>
  </r>
  <r>
    <n v="42640769"/>
    <x v="3"/>
    <s v="šolski"/>
    <d v="1899-12-30T12:00:00"/>
    <x v="0"/>
    <n v="93"/>
    <n v="10"/>
  </r>
  <r>
    <n v="42642091"/>
    <x v="0"/>
    <s v="svoj"/>
    <d v="1899-12-30T12:00:00"/>
    <x v="1"/>
    <n v="41"/>
    <n v="5"/>
  </r>
  <r>
    <n v="42651258"/>
    <x v="3"/>
    <s v="šolski"/>
    <d v="1899-12-30T12:00:00"/>
    <x v="4"/>
    <n v="43"/>
    <n v="5"/>
  </r>
  <r>
    <n v="42668357"/>
    <x v="3"/>
    <s v="šolski"/>
    <d v="1899-12-30T12:00:00"/>
    <x v="3"/>
    <n v="71"/>
    <n v="8"/>
  </r>
  <r>
    <n v="42679032"/>
    <x v="3"/>
    <s v="svoj"/>
    <d v="1899-12-30T09:00:00"/>
    <x v="0"/>
    <n v="45"/>
    <n v="5"/>
  </r>
  <r>
    <n v="42689196"/>
    <x v="2"/>
    <s v="šolski"/>
    <d v="1899-12-30T12:00:00"/>
    <x v="2"/>
    <n v="35"/>
    <n v="4"/>
  </r>
  <r>
    <n v="42689337"/>
    <x v="1"/>
    <s v="svoj"/>
    <d v="1899-12-30T09:00:00"/>
    <x v="0"/>
    <n v="74"/>
    <n v="8"/>
  </r>
  <r>
    <n v="42689447"/>
    <x v="0"/>
    <s v="šolski"/>
    <d v="1899-12-30T12:00:00"/>
    <x v="0"/>
    <n v="41"/>
    <n v="5"/>
  </r>
  <r>
    <n v="42697404"/>
    <x v="3"/>
    <s v="šolski"/>
    <d v="1899-12-30T09:00:00"/>
    <x v="2"/>
    <n v="44"/>
    <n v="5"/>
  </r>
  <r>
    <n v="42704979"/>
    <x v="3"/>
    <s v="svoj"/>
    <d v="1899-12-30T09:00:00"/>
    <x v="0"/>
    <n v="36"/>
    <n v="4"/>
  </r>
  <r>
    <n v="42726483"/>
    <x v="1"/>
    <s v="svoj"/>
    <d v="1899-12-30T12:00:00"/>
    <x v="1"/>
    <n v="36"/>
    <n v="4"/>
  </r>
  <r>
    <n v="42737836"/>
    <x v="1"/>
    <s v="svoj"/>
    <d v="1899-12-30T12:00:00"/>
    <x v="0"/>
    <n v="39"/>
    <n v="4"/>
  </r>
  <r>
    <n v="42742584"/>
    <x v="0"/>
    <s v="šolski"/>
    <d v="1899-12-30T12:00:00"/>
    <x v="2"/>
    <n v="65"/>
    <n v="7"/>
  </r>
  <r>
    <n v="42745979"/>
    <x v="3"/>
    <s v="svoj"/>
    <d v="1899-12-30T09:00:00"/>
    <x v="0"/>
    <n v="77"/>
    <n v="8"/>
  </r>
  <r>
    <n v="42752962"/>
    <x v="4"/>
    <s v="šolski"/>
    <d v="1899-12-30T12:00:00"/>
    <x v="2"/>
    <n v="60"/>
    <n v="7"/>
  </r>
  <r>
    <n v="42755840"/>
    <x v="3"/>
    <s v="svoj"/>
    <d v="1899-12-30T12:00:00"/>
    <x v="1"/>
    <n v="47"/>
    <n v="5"/>
  </r>
  <r>
    <n v="42757845"/>
    <x v="3"/>
    <s v="svoj"/>
    <d v="1899-12-30T12:00:00"/>
    <x v="1"/>
    <n v="39"/>
    <n v="4"/>
  </r>
  <r>
    <n v="42759042"/>
    <x v="1"/>
    <s v="šolski"/>
    <d v="1899-12-30T09:00:00"/>
    <x v="3"/>
    <n v="59"/>
    <n v="6"/>
  </r>
  <r>
    <n v="42765443"/>
    <x v="1"/>
    <s v="šolski"/>
    <d v="1899-12-30T12:00:00"/>
    <x v="2"/>
    <n v="64"/>
    <n v="7"/>
  </r>
  <r>
    <n v="42795786"/>
    <x v="0"/>
    <s v="svoj"/>
    <d v="1899-12-30T12:00:00"/>
    <x v="1"/>
    <n v="32"/>
    <n v="4"/>
  </r>
  <r>
    <n v="42815566"/>
    <x v="3"/>
    <s v="šolski"/>
    <d v="1899-12-30T09:00:00"/>
    <x v="2"/>
    <n v="48"/>
    <n v="5"/>
  </r>
  <r>
    <n v="42822891"/>
    <x v="0"/>
    <s v="šolski"/>
    <d v="1899-12-30T12:00:00"/>
    <x v="4"/>
    <n v="31"/>
    <n v="4"/>
  </r>
  <r>
    <n v="42825177"/>
    <x v="1"/>
    <s v="svoj"/>
    <d v="1899-12-30T09:00:00"/>
    <x v="1"/>
    <n v="51"/>
    <n v="6"/>
  </r>
  <r>
    <n v="42826959"/>
    <x v="3"/>
    <s v="svoj"/>
    <d v="1899-12-30T09:00:00"/>
    <x v="1"/>
    <n v="39"/>
    <n v="4"/>
  </r>
  <r>
    <n v="42828074"/>
    <x v="1"/>
    <s v="svoj"/>
    <d v="1899-12-30T09:00:00"/>
    <x v="1"/>
    <n v="30"/>
    <n v="4"/>
  </r>
  <r>
    <n v="42862473"/>
    <x v="1"/>
    <s v="svoj"/>
    <d v="1899-12-30T12:00:00"/>
    <x v="0"/>
    <n v="37"/>
    <n v="4"/>
  </r>
  <r>
    <n v="42865185"/>
    <x v="3"/>
    <s v="šolski"/>
    <d v="1899-12-30T12:00:00"/>
    <x v="2"/>
    <n v="76"/>
    <n v="8"/>
  </r>
  <r>
    <n v="42874645"/>
    <x v="4"/>
    <s v="svoj"/>
    <d v="1899-12-30T12:00:00"/>
    <x v="1"/>
    <n v="57"/>
    <n v="6"/>
  </r>
  <r>
    <n v="42874736"/>
    <x v="1"/>
    <s v="svoj"/>
    <d v="1899-12-30T09:00:00"/>
    <x v="0"/>
    <n v="92"/>
    <n v="10"/>
  </r>
  <r>
    <n v="42880984"/>
    <x v="4"/>
    <s v="šolski"/>
    <d v="1899-12-30T12:00:00"/>
    <x v="3"/>
    <n v="67"/>
    <n v="7"/>
  </r>
  <r>
    <n v="42892400"/>
    <x v="0"/>
    <s v="svoj"/>
    <d v="1899-12-30T09:00:00"/>
    <x v="0"/>
    <n v="53"/>
    <n v="6"/>
  </r>
  <r>
    <n v="42894527"/>
    <x v="1"/>
    <s v="svoj"/>
    <d v="1899-12-30T12:00:00"/>
    <x v="0"/>
    <n v="33"/>
    <n v="4"/>
  </r>
  <r>
    <n v="42898258"/>
    <x v="1"/>
    <s v="šolski"/>
    <d v="1899-12-30T12:00:00"/>
    <x v="3"/>
    <n v="35"/>
    <n v="4"/>
  </r>
  <r>
    <n v="42945250"/>
    <x v="4"/>
    <s v="šolski"/>
    <d v="1899-12-30T12:00:00"/>
    <x v="3"/>
    <n v="70"/>
    <n v="8"/>
  </r>
  <r>
    <n v="42948258"/>
    <x v="1"/>
    <s v="svoj"/>
    <d v="1899-12-30T09:00:00"/>
    <x v="1"/>
    <n v="97"/>
    <n v="10"/>
  </r>
  <r>
    <n v="42970318"/>
    <x v="4"/>
    <s v="šolski"/>
    <d v="1899-12-30T12:00:00"/>
    <x v="3"/>
    <n v="71"/>
    <n v="8"/>
  </r>
  <r>
    <n v="42975170"/>
    <x v="3"/>
    <s v="šolski"/>
    <d v="1899-12-30T09:00:00"/>
    <x v="3"/>
    <n v="84"/>
    <n v="9"/>
  </r>
  <r>
    <n v="42983195"/>
    <x v="3"/>
    <s v="šolski"/>
    <d v="1899-12-30T12:00:00"/>
    <x v="2"/>
    <n v="73"/>
    <n v="8"/>
  </r>
  <r>
    <n v="42996428"/>
    <x v="4"/>
    <s v="šolski"/>
    <d v="1899-12-30T12:00:00"/>
    <x v="0"/>
    <n v="99"/>
    <n v="10"/>
  </r>
  <r>
    <n v="42998925"/>
    <x v="3"/>
    <s v="šolski"/>
    <d v="1899-12-30T12:00:00"/>
    <x v="3"/>
    <n v="7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702BE-ABD5-4716-B5E3-91ADFAD957EF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6:S13" firstHeaderRow="1" firstDataRow="2" firstDataCol="1"/>
  <pivotFields count="7"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numFmtId="165" showAll="0"/>
    <pivotField axis="axisCol" showAll="0">
      <items count="6">
        <item x="3"/>
        <item x="2"/>
        <item x="4"/>
        <item x="0"/>
        <item x="1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ocena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C07FDC-A450-47B7-ADA5-2BD4BDEBFC4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vpisna" tableColumnId="1"/>
      <queryTableField id="2" name="program" tableColumnId="2"/>
      <queryTableField id="3" name="računalnik" tableColumnId="3"/>
      <queryTableField id="4" name="termin" tableColumnId="4"/>
      <queryTableField id="5" name="učilnica" tableColumnId="5"/>
      <queryTableField id="6" name="točk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32247-8CDB-4FAA-A109-369DC78DCEDA}" name="izpit" displayName="izpit" ref="A1:G114" tableType="queryTable" totalsRowShown="0">
  <autoFilter ref="A1:G114" xr:uid="{90A32247-8CDB-4FAA-A109-369DC78DCEDA}"/>
  <sortState xmlns:xlrd2="http://schemas.microsoft.com/office/spreadsheetml/2017/richdata2" ref="A2:F114">
    <sortCondition ref="A1:A114"/>
  </sortState>
  <tableColumns count="7">
    <tableColumn id="1" xr3:uid="{2E5D33F6-69D4-4B85-A7E7-092FBCE86586}" uniqueName="1" name="vpisna" queryTableFieldId="1"/>
    <tableColumn id="2" xr3:uid="{4B310607-C431-483C-9E6A-F96B960B8511}" uniqueName="2" name="program" queryTableFieldId="2" dataDxfId="4"/>
    <tableColumn id="3" xr3:uid="{B50B6D91-2F44-462D-BF7D-8D30E95AB6D9}" uniqueName="3" name="računalnik" queryTableFieldId="3" dataDxfId="3"/>
    <tableColumn id="4" xr3:uid="{E08C63C9-6DFF-4861-B6C3-2D4715F0C25E}" uniqueName="4" name="termin" queryTableFieldId="4" dataDxfId="2"/>
    <tableColumn id="5" xr3:uid="{9692E4F1-4BFC-4120-97BD-7991256B5839}" uniqueName="5" name="učilnica" queryTableFieldId="5" dataDxfId="1"/>
    <tableColumn id="6" xr3:uid="{349A9CA6-3FB7-4420-8820-A79C05C73386}" uniqueName="6" name="točke" queryTableFieldId="6"/>
    <tableColumn id="7" xr3:uid="{CC8F1DCF-46EE-4689-A130-77A4B524B742}" uniqueName="7" name="ocena" queryTableFieldId="7" dataDxfId="0">
      <calculatedColumnFormula>FLOOR(izpit[[#This Row],[točke]]/10,1)+1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466-480C-4BEA-9B0A-C5FADC05D064}">
  <dimension ref="A1:S114"/>
  <sheetViews>
    <sheetView tabSelected="1" topLeftCell="A16" workbookViewId="0">
      <selection activeCell="N18" sqref="N18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12.42578125" bestFit="1" customWidth="1"/>
    <col min="4" max="4" width="9.28515625" bestFit="1" customWidth="1"/>
    <col min="5" max="5" width="10" bestFit="1" customWidth="1"/>
    <col min="6" max="6" width="8.140625" bestFit="1" customWidth="1"/>
    <col min="13" max="13" width="16.42578125" bestFit="1" customWidth="1"/>
    <col min="14" max="14" width="16.28515625" bestFit="1" customWidth="1"/>
    <col min="15" max="15" width="4.5703125" bestFit="1" customWidth="1"/>
    <col min="16" max="17" width="5.5703125" bestFit="1" customWidth="1"/>
    <col min="18" max="18" width="4.7109375" bestFit="1" customWidth="1"/>
    <col min="19" max="19" width="11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19" x14ac:dyDescent="0.25">
      <c r="A2">
        <v>42005012</v>
      </c>
      <c r="B2" s="1" t="s">
        <v>12</v>
      </c>
      <c r="C2" s="1" t="s">
        <v>7</v>
      </c>
      <c r="D2" s="2">
        <v>0.5</v>
      </c>
      <c r="E2" s="1" t="s">
        <v>16</v>
      </c>
      <c r="F2">
        <v>65</v>
      </c>
      <c r="G2" s="3">
        <f>FLOOR(izpit[[#This Row],[točke]]/10,1)+1</f>
        <v>7</v>
      </c>
    </row>
    <row r="3" spans="1:19" x14ac:dyDescent="0.25">
      <c r="A3">
        <v>42011306</v>
      </c>
      <c r="B3" s="1" t="s">
        <v>11</v>
      </c>
      <c r="C3" s="1" t="s">
        <v>7</v>
      </c>
      <c r="D3" s="2">
        <v>0.5</v>
      </c>
      <c r="E3" s="1" t="s">
        <v>16</v>
      </c>
      <c r="F3">
        <v>65</v>
      </c>
      <c r="G3" s="3">
        <f>FLOOR(izpit[[#This Row],[točke]]/10,1)+1</f>
        <v>7</v>
      </c>
    </row>
    <row r="4" spans="1:19" x14ac:dyDescent="0.25">
      <c r="A4">
        <v>42011847</v>
      </c>
      <c r="B4" s="1" t="s">
        <v>14</v>
      </c>
      <c r="C4" s="1" t="s">
        <v>7</v>
      </c>
      <c r="D4" s="2">
        <v>0.5</v>
      </c>
      <c r="E4" s="1" t="s">
        <v>17</v>
      </c>
      <c r="F4">
        <v>72</v>
      </c>
      <c r="G4" s="3">
        <f>FLOOR(izpit[[#This Row],[točke]]/10,1)+1</f>
        <v>8</v>
      </c>
    </row>
    <row r="5" spans="1:19" x14ac:dyDescent="0.25">
      <c r="A5">
        <v>42027302</v>
      </c>
      <c r="B5" s="1" t="s">
        <v>11</v>
      </c>
      <c r="C5" s="1" t="s">
        <v>7</v>
      </c>
      <c r="D5" s="2">
        <v>0.375</v>
      </c>
      <c r="E5" s="1" t="s">
        <v>16</v>
      </c>
      <c r="F5">
        <v>66</v>
      </c>
      <c r="G5" s="3">
        <f>FLOOR(izpit[[#This Row],[točke]]/10,1)+1</f>
        <v>7</v>
      </c>
    </row>
    <row r="6" spans="1:19" x14ac:dyDescent="0.25">
      <c r="A6">
        <v>42030712</v>
      </c>
      <c r="B6" s="1" t="s">
        <v>6</v>
      </c>
      <c r="C6" s="1" t="s">
        <v>7</v>
      </c>
      <c r="D6" s="2">
        <v>0.5</v>
      </c>
      <c r="E6" s="1" t="s">
        <v>17</v>
      </c>
      <c r="F6">
        <v>76</v>
      </c>
      <c r="G6" s="3">
        <f>FLOOR(izpit[[#This Row],[točke]]/10,1)+1</f>
        <v>8</v>
      </c>
      <c r="M6" s="4" t="s">
        <v>22</v>
      </c>
      <c r="N6" s="4" t="s">
        <v>21</v>
      </c>
    </row>
    <row r="7" spans="1:19" x14ac:dyDescent="0.25">
      <c r="A7">
        <v>42031928</v>
      </c>
      <c r="B7" s="1" t="s">
        <v>11</v>
      </c>
      <c r="C7" s="1" t="s">
        <v>9</v>
      </c>
      <c r="D7" s="2">
        <v>0.375</v>
      </c>
      <c r="E7" s="1" t="s">
        <v>13</v>
      </c>
      <c r="F7">
        <v>48</v>
      </c>
      <c r="G7" s="3">
        <f>FLOOR(izpit[[#This Row],[točke]]/10,1)+1</f>
        <v>5</v>
      </c>
      <c r="M7" s="4" t="s">
        <v>19</v>
      </c>
      <c r="N7" t="s">
        <v>8</v>
      </c>
      <c r="O7" t="s">
        <v>13</v>
      </c>
      <c r="P7" t="s">
        <v>15</v>
      </c>
      <c r="Q7" t="s">
        <v>16</v>
      </c>
      <c r="R7" t="s">
        <v>17</v>
      </c>
      <c r="S7" t="s">
        <v>20</v>
      </c>
    </row>
    <row r="8" spans="1:19" x14ac:dyDescent="0.25">
      <c r="A8">
        <v>42033704</v>
      </c>
      <c r="B8" s="1" t="s">
        <v>6</v>
      </c>
      <c r="C8" s="1" t="s">
        <v>7</v>
      </c>
      <c r="D8" s="2">
        <v>0.375</v>
      </c>
      <c r="E8" s="1" t="s">
        <v>17</v>
      </c>
      <c r="F8">
        <v>95</v>
      </c>
      <c r="G8" s="3">
        <f>FLOOR(izpit[[#This Row],[točke]]/10,1)+1</f>
        <v>10</v>
      </c>
      <c r="M8" s="5" t="s">
        <v>12</v>
      </c>
      <c r="N8" s="6">
        <v>5</v>
      </c>
      <c r="O8" s="6">
        <v>6.666666666666667</v>
      </c>
      <c r="P8" s="6">
        <v>4</v>
      </c>
      <c r="Q8" s="6">
        <v>6.6</v>
      </c>
      <c r="R8" s="6">
        <v>5.25</v>
      </c>
      <c r="S8" s="6">
        <v>5.9285714285714288</v>
      </c>
    </row>
    <row r="9" spans="1:19" x14ac:dyDescent="0.25">
      <c r="A9">
        <v>42037786</v>
      </c>
      <c r="B9" s="1" t="s">
        <v>6</v>
      </c>
      <c r="C9" s="1" t="s">
        <v>7</v>
      </c>
      <c r="D9" s="2">
        <v>0.375</v>
      </c>
      <c r="E9" s="1" t="s">
        <v>8</v>
      </c>
      <c r="F9">
        <v>97</v>
      </c>
      <c r="G9" s="3">
        <f>FLOOR(izpit[[#This Row],[točke]]/10,1)+1</f>
        <v>10</v>
      </c>
      <c r="M9" s="5" t="s">
        <v>10</v>
      </c>
      <c r="N9" s="6">
        <v>7.8</v>
      </c>
      <c r="O9" s="6">
        <v>8.6666666666666661</v>
      </c>
      <c r="P9" s="6">
        <v>5.5</v>
      </c>
      <c r="Q9" s="6">
        <v>10</v>
      </c>
      <c r="R9" s="6">
        <v>5.666666666666667</v>
      </c>
      <c r="S9" s="6">
        <v>7.3571428571428568</v>
      </c>
    </row>
    <row r="10" spans="1:19" x14ac:dyDescent="0.25">
      <c r="A10">
        <v>42054004</v>
      </c>
      <c r="B10" s="1" t="s">
        <v>6</v>
      </c>
      <c r="C10" s="1" t="s">
        <v>9</v>
      </c>
      <c r="D10" s="2">
        <v>0.375</v>
      </c>
      <c r="E10" s="1" t="s">
        <v>13</v>
      </c>
      <c r="F10">
        <v>52</v>
      </c>
      <c r="G10" s="3">
        <f>FLOOR(izpit[[#This Row],[točke]]/10,1)+1</f>
        <v>6</v>
      </c>
      <c r="M10" s="5" t="s">
        <v>6</v>
      </c>
      <c r="N10" s="6">
        <v>8.3333333333333339</v>
      </c>
      <c r="O10" s="6">
        <v>6.9</v>
      </c>
      <c r="P10" s="6">
        <v>7.75</v>
      </c>
      <c r="Q10" s="6">
        <v>7.9</v>
      </c>
      <c r="R10" s="6">
        <v>7.1428571428571432</v>
      </c>
      <c r="S10" s="6">
        <v>7.5319148936170217</v>
      </c>
    </row>
    <row r="11" spans="1:19" x14ac:dyDescent="0.25">
      <c r="A11">
        <v>42068536</v>
      </c>
      <c r="B11" s="1" t="s">
        <v>6</v>
      </c>
      <c r="C11" s="1" t="s">
        <v>7</v>
      </c>
      <c r="D11" s="2">
        <v>0.375</v>
      </c>
      <c r="E11" s="1" t="s">
        <v>17</v>
      </c>
      <c r="F11">
        <v>95</v>
      </c>
      <c r="G11" s="3">
        <f>FLOOR(izpit[[#This Row],[točke]]/10,1)+1</f>
        <v>10</v>
      </c>
      <c r="M11" s="5" t="s">
        <v>11</v>
      </c>
      <c r="N11" s="6">
        <v>7.6</v>
      </c>
      <c r="O11" s="6">
        <v>6.5714285714285712</v>
      </c>
      <c r="P11" s="6">
        <v>10</v>
      </c>
      <c r="Q11" s="6">
        <v>6.2222222222222223</v>
      </c>
      <c r="R11" s="6">
        <v>6.3</v>
      </c>
      <c r="S11" s="6">
        <v>6.7575757575757578</v>
      </c>
    </row>
    <row r="12" spans="1:19" x14ac:dyDescent="0.25">
      <c r="A12">
        <v>42079418</v>
      </c>
      <c r="B12" s="1" t="s">
        <v>6</v>
      </c>
      <c r="C12" s="1" t="s">
        <v>7</v>
      </c>
      <c r="D12" s="2">
        <v>0.375</v>
      </c>
      <c r="E12" s="1" t="s">
        <v>16</v>
      </c>
      <c r="F12">
        <v>88</v>
      </c>
      <c r="G12" s="3">
        <f>FLOOR(izpit[[#This Row],[točke]]/10,1)+1</f>
        <v>9</v>
      </c>
      <c r="M12" s="5" t="s">
        <v>14</v>
      </c>
      <c r="N12" s="6"/>
      <c r="O12" s="6">
        <v>4</v>
      </c>
      <c r="P12" s="6"/>
      <c r="Q12" s="6">
        <v>7.333333333333333</v>
      </c>
      <c r="R12" s="6">
        <v>8</v>
      </c>
      <c r="S12" s="6">
        <v>6.8</v>
      </c>
    </row>
    <row r="13" spans="1:19" x14ac:dyDescent="0.25">
      <c r="A13">
        <v>42085985</v>
      </c>
      <c r="B13" s="1" t="s">
        <v>11</v>
      </c>
      <c r="C13" s="1" t="s">
        <v>7</v>
      </c>
      <c r="D13" s="2">
        <v>0.375</v>
      </c>
      <c r="E13" s="1" t="s">
        <v>17</v>
      </c>
      <c r="F13">
        <v>91</v>
      </c>
      <c r="G13" s="3">
        <f>FLOOR(izpit[[#This Row],[točke]]/10,1)+1</f>
        <v>10</v>
      </c>
      <c r="M13" s="5" t="s">
        <v>20</v>
      </c>
      <c r="N13" s="6">
        <v>7.85</v>
      </c>
      <c r="O13" s="6">
        <v>6.875</v>
      </c>
      <c r="P13" s="6">
        <v>7.333333333333333</v>
      </c>
      <c r="Q13" s="6">
        <v>7.1428571428571432</v>
      </c>
      <c r="R13" s="6">
        <v>6.53125</v>
      </c>
      <c r="S13" s="6">
        <v>7.053097345132743</v>
      </c>
    </row>
    <row r="14" spans="1:19" x14ac:dyDescent="0.25">
      <c r="A14">
        <v>42088685</v>
      </c>
      <c r="B14" s="1" t="s">
        <v>11</v>
      </c>
      <c r="C14" s="1" t="s">
        <v>7</v>
      </c>
      <c r="D14" s="2">
        <v>0.5</v>
      </c>
      <c r="E14" s="1" t="s">
        <v>17</v>
      </c>
      <c r="F14">
        <v>39</v>
      </c>
      <c r="G14" s="3">
        <f>FLOOR(izpit[[#This Row],[točke]]/10,1)+1</f>
        <v>4</v>
      </c>
    </row>
    <row r="15" spans="1:19" x14ac:dyDescent="0.25">
      <c r="A15">
        <v>42089481</v>
      </c>
      <c r="B15" s="1" t="s">
        <v>6</v>
      </c>
      <c r="C15" s="1" t="s">
        <v>7</v>
      </c>
      <c r="D15" s="2">
        <v>0.375</v>
      </c>
      <c r="E15" s="1" t="s">
        <v>16</v>
      </c>
      <c r="F15">
        <v>90</v>
      </c>
      <c r="G15" s="3">
        <f>FLOOR(izpit[[#This Row],[točke]]/10,1)+1</f>
        <v>10</v>
      </c>
    </row>
    <row r="16" spans="1:19" x14ac:dyDescent="0.25">
      <c r="A16">
        <v>42089658</v>
      </c>
      <c r="B16" s="1" t="s">
        <v>6</v>
      </c>
      <c r="C16" s="1" t="s">
        <v>7</v>
      </c>
      <c r="D16" s="2">
        <v>0.375</v>
      </c>
      <c r="E16" s="1" t="s">
        <v>17</v>
      </c>
      <c r="F16">
        <v>50</v>
      </c>
      <c r="G16" s="3">
        <f>FLOOR(izpit[[#This Row],[točke]]/10,1)+1</f>
        <v>6</v>
      </c>
    </row>
    <row r="17" spans="1:7" x14ac:dyDescent="0.25">
      <c r="A17">
        <v>42090614</v>
      </c>
      <c r="B17" s="1" t="s">
        <v>6</v>
      </c>
      <c r="C17" s="1" t="s">
        <v>7</v>
      </c>
      <c r="D17" s="2">
        <v>0.375</v>
      </c>
      <c r="E17" s="1" t="s">
        <v>16</v>
      </c>
      <c r="F17">
        <v>99</v>
      </c>
      <c r="G17" s="3">
        <f>FLOOR(izpit[[#This Row],[točke]]/10,1)+1</f>
        <v>10</v>
      </c>
    </row>
    <row r="18" spans="1:7" x14ac:dyDescent="0.25">
      <c r="A18">
        <v>42092101</v>
      </c>
      <c r="B18" s="1" t="s">
        <v>12</v>
      </c>
      <c r="C18" s="1" t="s">
        <v>7</v>
      </c>
      <c r="D18" s="2">
        <v>0.375</v>
      </c>
      <c r="E18" s="1" t="s">
        <v>17</v>
      </c>
      <c r="F18">
        <v>57</v>
      </c>
      <c r="G18" s="3">
        <f>FLOOR(izpit[[#This Row],[točke]]/10,1)+1</f>
        <v>6</v>
      </c>
    </row>
    <row r="19" spans="1:7" x14ac:dyDescent="0.25">
      <c r="A19">
        <v>42097631</v>
      </c>
      <c r="B19" s="1" t="s">
        <v>6</v>
      </c>
      <c r="C19" s="1" t="s">
        <v>9</v>
      </c>
      <c r="D19" s="2">
        <v>0.5</v>
      </c>
      <c r="E19" s="1" t="s">
        <v>13</v>
      </c>
      <c r="F19">
        <v>81</v>
      </c>
      <c r="G19" s="3">
        <f>FLOOR(izpit[[#This Row],[točke]]/10,1)+1</f>
        <v>9</v>
      </c>
    </row>
    <row r="20" spans="1:7" x14ac:dyDescent="0.25">
      <c r="A20">
        <v>42105687</v>
      </c>
      <c r="B20" s="1" t="s">
        <v>6</v>
      </c>
      <c r="C20" s="1" t="s">
        <v>9</v>
      </c>
      <c r="D20" s="2">
        <v>0.5</v>
      </c>
      <c r="E20" s="1" t="s">
        <v>8</v>
      </c>
      <c r="F20">
        <v>93</v>
      </c>
      <c r="G20" s="3">
        <f>FLOOR(izpit[[#This Row],[točke]]/10,1)+1</f>
        <v>10</v>
      </c>
    </row>
    <row r="21" spans="1:7" x14ac:dyDescent="0.25">
      <c r="A21">
        <v>42134424</v>
      </c>
      <c r="B21" s="1" t="s">
        <v>12</v>
      </c>
      <c r="C21" s="1" t="s">
        <v>7</v>
      </c>
      <c r="D21" s="2">
        <v>0.375</v>
      </c>
      <c r="E21" s="1" t="s">
        <v>17</v>
      </c>
      <c r="F21">
        <v>50</v>
      </c>
      <c r="G21" s="3">
        <f>FLOOR(izpit[[#This Row],[točke]]/10,1)+1</f>
        <v>6</v>
      </c>
    </row>
    <row r="22" spans="1:7" x14ac:dyDescent="0.25">
      <c r="A22">
        <v>42145758</v>
      </c>
      <c r="B22" s="1" t="s">
        <v>6</v>
      </c>
      <c r="C22" s="1" t="s">
        <v>7</v>
      </c>
      <c r="D22" s="2">
        <v>0.5</v>
      </c>
      <c r="E22" s="1" t="s">
        <v>17</v>
      </c>
      <c r="F22">
        <v>57</v>
      </c>
      <c r="G22" s="3">
        <f>FLOOR(izpit[[#This Row],[točke]]/10,1)+1</f>
        <v>6</v>
      </c>
    </row>
    <row r="23" spans="1:7" x14ac:dyDescent="0.25">
      <c r="A23">
        <v>42156966</v>
      </c>
      <c r="B23" s="1" t="s">
        <v>6</v>
      </c>
      <c r="C23" s="1" t="s">
        <v>7</v>
      </c>
      <c r="D23" s="2">
        <v>0.375</v>
      </c>
      <c r="E23" s="1" t="s">
        <v>17</v>
      </c>
      <c r="F23">
        <v>95</v>
      </c>
      <c r="G23" s="3">
        <f>FLOOR(izpit[[#This Row],[točke]]/10,1)+1</f>
        <v>10</v>
      </c>
    </row>
    <row r="24" spans="1:7" x14ac:dyDescent="0.25">
      <c r="A24">
        <v>42157802</v>
      </c>
      <c r="B24" s="1" t="s">
        <v>10</v>
      </c>
      <c r="C24" s="1" t="s">
        <v>9</v>
      </c>
      <c r="D24" s="2">
        <v>0.375</v>
      </c>
      <c r="E24" s="1" t="s">
        <v>8</v>
      </c>
      <c r="F24">
        <v>75</v>
      </c>
      <c r="G24" s="3">
        <f>FLOOR(izpit[[#This Row],[točke]]/10,1)+1</f>
        <v>8</v>
      </c>
    </row>
    <row r="25" spans="1:7" x14ac:dyDescent="0.25">
      <c r="A25">
        <v>42159529</v>
      </c>
      <c r="B25" s="1" t="s">
        <v>11</v>
      </c>
      <c r="C25" s="1" t="s">
        <v>9</v>
      </c>
      <c r="D25" s="2">
        <v>0.375</v>
      </c>
      <c r="E25" s="1" t="s">
        <v>13</v>
      </c>
      <c r="F25">
        <v>44</v>
      </c>
      <c r="G25" s="3">
        <f>FLOOR(izpit[[#This Row],[točke]]/10,1)+1</f>
        <v>5</v>
      </c>
    </row>
    <row r="26" spans="1:7" x14ac:dyDescent="0.25">
      <c r="A26">
        <v>42167815</v>
      </c>
      <c r="B26" s="1" t="s">
        <v>11</v>
      </c>
      <c r="C26" s="1" t="s">
        <v>7</v>
      </c>
      <c r="D26" s="2">
        <v>0.375</v>
      </c>
      <c r="E26" s="1" t="s">
        <v>16</v>
      </c>
      <c r="F26">
        <v>44</v>
      </c>
      <c r="G26" s="3">
        <f>FLOOR(izpit[[#This Row],[točke]]/10,1)+1</f>
        <v>5</v>
      </c>
    </row>
    <row r="27" spans="1:7" x14ac:dyDescent="0.25">
      <c r="A27">
        <v>42176765</v>
      </c>
      <c r="B27" s="1" t="s">
        <v>6</v>
      </c>
      <c r="C27" s="1" t="s">
        <v>7</v>
      </c>
      <c r="D27" s="2">
        <v>0.5</v>
      </c>
      <c r="E27" s="1" t="s">
        <v>17</v>
      </c>
      <c r="F27">
        <v>99</v>
      </c>
      <c r="G27" s="3">
        <f>FLOOR(izpit[[#This Row],[točke]]/10,1)+1</f>
        <v>10</v>
      </c>
    </row>
    <row r="28" spans="1:7" x14ac:dyDescent="0.25">
      <c r="A28">
        <v>42188922</v>
      </c>
      <c r="B28" s="1" t="s">
        <v>6</v>
      </c>
      <c r="C28" s="1" t="s">
        <v>7</v>
      </c>
      <c r="D28" s="2">
        <v>0.375</v>
      </c>
      <c r="E28" s="1" t="s">
        <v>16</v>
      </c>
      <c r="F28">
        <v>40</v>
      </c>
      <c r="G28" s="3">
        <f>FLOOR(izpit[[#This Row],[točke]]/10,1)+1</f>
        <v>5</v>
      </c>
    </row>
    <row r="29" spans="1:7" x14ac:dyDescent="0.25">
      <c r="A29">
        <v>42214702</v>
      </c>
      <c r="B29" s="1" t="s">
        <v>12</v>
      </c>
      <c r="C29" s="1" t="s">
        <v>9</v>
      </c>
      <c r="D29" s="2">
        <v>0.5</v>
      </c>
      <c r="E29" s="1" t="s">
        <v>13</v>
      </c>
      <c r="F29">
        <v>40</v>
      </c>
      <c r="G29" s="3">
        <f>FLOOR(izpit[[#This Row],[točke]]/10,1)+1</f>
        <v>5</v>
      </c>
    </row>
    <row r="30" spans="1:7" x14ac:dyDescent="0.25">
      <c r="A30">
        <v>42226795</v>
      </c>
      <c r="B30" s="1" t="s">
        <v>6</v>
      </c>
      <c r="C30" s="1" t="s">
        <v>7</v>
      </c>
      <c r="D30" s="2">
        <v>0.5</v>
      </c>
      <c r="E30" s="1" t="s">
        <v>17</v>
      </c>
      <c r="F30">
        <v>89</v>
      </c>
      <c r="G30" s="3">
        <f>FLOOR(izpit[[#This Row],[točke]]/10,1)+1</f>
        <v>9</v>
      </c>
    </row>
    <row r="31" spans="1:7" x14ac:dyDescent="0.25">
      <c r="A31">
        <v>42244062</v>
      </c>
      <c r="B31" s="1" t="s">
        <v>6</v>
      </c>
      <c r="C31" s="1" t="s">
        <v>7</v>
      </c>
      <c r="D31" s="2">
        <v>0.375</v>
      </c>
      <c r="E31" s="1" t="s">
        <v>17</v>
      </c>
      <c r="F31">
        <v>58</v>
      </c>
      <c r="G31" s="3">
        <f>FLOOR(izpit[[#This Row],[točke]]/10,1)+1</f>
        <v>6</v>
      </c>
    </row>
    <row r="32" spans="1:7" x14ac:dyDescent="0.25">
      <c r="A32">
        <v>42252869</v>
      </c>
      <c r="B32" s="1" t="s">
        <v>6</v>
      </c>
      <c r="C32" s="1" t="s">
        <v>9</v>
      </c>
      <c r="D32" s="2">
        <v>0.5</v>
      </c>
      <c r="E32" s="1" t="s">
        <v>15</v>
      </c>
      <c r="F32">
        <v>86</v>
      </c>
      <c r="G32" s="3">
        <f>FLOOR(izpit[[#This Row],[točke]]/10,1)+1</f>
        <v>9</v>
      </c>
    </row>
    <row r="33" spans="1:7" x14ac:dyDescent="0.25">
      <c r="A33">
        <v>42279665</v>
      </c>
      <c r="B33" s="1" t="s">
        <v>6</v>
      </c>
      <c r="C33" s="1" t="s">
        <v>9</v>
      </c>
      <c r="D33" s="2">
        <v>0.5</v>
      </c>
      <c r="E33" s="1" t="s">
        <v>15</v>
      </c>
      <c r="F33">
        <v>89</v>
      </c>
      <c r="G33" s="3">
        <f>FLOOR(izpit[[#This Row],[točke]]/10,1)+1</f>
        <v>9</v>
      </c>
    </row>
    <row r="34" spans="1:7" x14ac:dyDescent="0.25">
      <c r="A34">
        <v>42280293</v>
      </c>
      <c r="B34" s="1" t="s">
        <v>12</v>
      </c>
      <c r="C34" s="1" t="s">
        <v>9</v>
      </c>
      <c r="D34" s="2">
        <v>0.5</v>
      </c>
      <c r="E34" s="1" t="s">
        <v>13</v>
      </c>
      <c r="F34">
        <v>73</v>
      </c>
      <c r="G34" s="3">
        <f>FLOOR(izpit[[#This Row],[točke]]/10,1)+1</f>
        <v>8</v>
      </c>
    </row>
    <row r="35" spans="1:7" x14ac:dyDescent="0.25">
      <c r="A35">
        <v>42290669</v>
      </c>
      <c r="B35" s="1" t="s">
        <v>11</v>
      </c>
      <c r="C35" s="1" t="s">
        <v>9</v>
      </c>
      <c r="D35" s="2">
        <v>0.375</v>
      </c>
      <c r="E35" s="1" t="s">
        <v>13</v>
      </c>
      <c r="F35">
        <v>75</v>
      </c>
      <c r="G35" s="3">
        <f>FLOOR(izpit[[#This Row],[točke]]/10,1)+1</f>
        <v>8</v>
      </c>
    </row>
    <row r="36" spans="1:7" x14ac:dyDescent="0.25">
      <c r="A36">
        <v>42290675</v>
      </c>
      <c r="B36" s="1" t="s">
        <v>10</v>
      </c>
      <c r="C36" s="1" t="s">
        <v>9</v>
      </c>
      <c r="D36" s="2">
        <v>0.5</v>
      </c>
      <c r="E36" s="1" t="s">
        <v>15</v>
      </c>
      <c r="F36">
        <v>60</v>
      </c>
      <c r="G36" s="3">
        <f>FLOOR(izpit[[#This Row],[točke]]/10,1)+1</f>
        <v>7</v>
      </c>
    </row>
    <row r="37" spans="1:7" x14ac:dyDescent="0.25">
      <c r="A37">
        <v>42300407</v>
      </c>
      <c r="B37" s="1" t="s">
        <v>6</v>
      </c>
      <c r="C37" s="1" t="s">
        <v>7</v>
      </c>
      <c r="D37" s="2">
        <v>0.375</v>
      </c>
      <c r="E37" s="1" t="s">
        <v>16</v>
      </c>
      <c r="F37">
        <v>81</v>
      </c>
      <c r="G37" s="3">
        <f>FLOOR(izpit[[#This Row],[točke]]/10,1)+1</f>
        <v>9</v>
      </c>
    </row>
    <row r="38" spans="1:7" x14ac:dyDescent="0.25">
      <c r="A38">
        <v>42305829</v>
      </c>
      <c r="B38" s="1" t="s">
        <v>10</v>
      </c>
      <c r="C38" s="1" t="s">
        <v>9</v>
      </c>
      <c r="D38" s="2">
        <v>0.5</v>
      </c>
      <c r="E38" s="1" t="s">
        <v>13</v>
      </c>
      <c r="F38">
        <v>87</v>
      </c>
      <c r="G38" s="3">
        <f>FLOOR(izpit[[#This Row],[točke]]/10,1)+1</f>
        <v>9</v>
      </c>
    </row>
    <row r="39" spans="1:7" x14ac:dyDescent="0.25">
      <c r="A39">
        <v>42322062</v>
      </c>
      <c r="B39" s="1" t="s">
        <v>6</v>
      </c>
      <c r="C39" s="1" t="s">
        <v>7</v>
      </c>
      <c r="D39" s="2">
        <v>0.5</v>
      </c>
      <c r="E39" s="1" t="s">
        <v>17</v>
      </c>
      <c r="F39">
        <v>39</v>
      </c>
      <c r="G39" s="3">
        <f>FLOOR(izpit[[#This Row],[točke]]/10,1)+1</f>
        <v>4</v>
      </c>
    </row>
    <row r="40" spans="1:7" x14ac:dyDescent="0.25">
      <c r="A40">
        <v>42322588</v>
      </c>
      <c r="B40" s="1" t="s">
        <v>6</v>
      </c>
      <c r="C40" s="1" t="s">
        <v>7</v>
      </c>
      <c r="D40" s="2">
        <v>0.375</v>
      </c>
      <c r="E40" s="1" t="s">
        <v>8</v>
      </c>
      <c r="F40">
        <v>93</v>
      </c>
      <c r="G40" s="3">
        <f>FLOOR(izpit[[#This Row],[točke]]/10,1)+1</f>
        <v>10</v>
      </c>
    </row>
    <row r="41" spans="1:7" x14ac:dyDescent="0.25">
      <c r="A41">
        <v>42337368</v>
      </c>
      <c r="B41" s="1" t="s">
        <v>11</v>
      </c>
      <c r="C41" s="1" t="s">
        <v>9</v>
      </c>
      <c r="D41" s="2">
        <v>0.5</v>
      </c>
      <c r="E41" s="1" t="s">
        <v>15</v>
      </c>
      <c r="F41">
        <v>95</v>
      </c>
      <c r="G41" s="3">
        <f>FLOOR(izpit[[#This Row],[točke]]/10,1)+1</f>
        <v>10</v>
      </c>
    </row>
    <row r="42" spans="1:7" x14ac:dyDescent="0.25">
      <c r="A42">
        <v>42365094</v>
      </c>
      <c r="B42" s="1" t="s">
        <v>6</v>
      </c>
      <c r="C42" s="1" t="s">
        <v>9</v>
      </c>
      <c r="D42" s="2">
        <v>0.375</v>
      </c>
      <c r="E42" s="1" t="s">
        <v>13</v>
      </c>
      <c r="F42">
        <v>52</v>
      </c>
      <c r="G42" s="3">
        <f>FLOOR(izpit[[#This Row],[točke]]/10,1)+1</f>
        <v>6</v>
      </c>
    </row>
    <row r="43" spans="1:7" x14ac:dyDescent="0.25">
      <c r="A43">
        <v>42366248</v>
      </c>
      <c r="B43" s="1" t="s">
        <v>6</v>
      </c>
      <c r="C43" s="1" t="s">
        <v>7</v>
      </c>
      <c r="D43" s="2">
        <v>0.375</v>
      </c>
      <c r="E43" s="1" t="s">
        <v>8</v>
      </c>
      <c r="F43">
        <v>73</v>
      </c>
      <c r="G43" s="3">
        <f>FLOOR(izpit[[#This Row],[točke]]/10,1)+1</f>
        <v>8</v>
      </c>
    </row>
    <row r="44" spans="1:7" x14ac:dyDescent="0.25">
      <c r="A44">
        <v>42369992</v>
      </c>
      <c r="B44" s="1" t="s">
        <v>6</v>
      </c>
      <c r="C44" s="1" t="s">
        <v>9</v>
      </c>
      <c r="D44" s="2">
        <v>0.5</v>
      </c>
      <c r="E44" s="1" t="s">
        <v>16</v>
      </c>
      <c r="F44">
        <v>81</v>
      </c>
      <c r="G44" s="3">
        <f>FLOOR(izpit[[#This Row],[točke]]/10,1)+1</f>
        <v>9</v>
      </c>
    </row>
    <row r="45" spans="1:7" x14ac:dyDescent="0.25">
      <c r="A45">
        <v>42380454</v>
      </c>
      <c r="B45" s="1" t="s">
        <v>11</v>
      </c>
      <c r="C45" s="1" t="s">
        <v>7</v>
      </c>
      <c r="D45" s="2">
        <v>0.375</v>
      </c>
      <c r="E45" s="1" t="s">
        <v>17</v>
      </c>
      <c r="F45">
        <v>44</v>
      </c>
      <c r="G45" s="3">
        <f>FLOOR(izpit[[#This Row],[točke]]/10,1)+1</f>
        <v>5</v>
      </c>
    </row>
    <row r="46" spans="1:7" x14ac:dyDescent="0.25">
      <c r="A46">
        <v>42390797</v>
      </c>
      <c r="B46" s="1" t="s">
        <v>6</v>
      </c>
      <c r="C46" s="1" t="s">
        <v>7</v>
      </c>
      <c r="D46" s="2">
        <v>0.375</v>
      </c>
      <c r="E46" s="1" t="s">
        <v>8</v>
      </c>
      <c r="F46">
        <v>42</v>
      </c>
      <c r="G46" s="3">
        <f>FLOOR(izpit[[#This Row],[točke]]/10,1)+1</f>
        <v>5</v>
      </c>
    </row>
    <row r="47" spans="1:7" x14ac:dyDescent="0.25">
      <c r="A47">
        <v>42394484</v>
      </c>
      <c r="B47" s="1" t="s">
        <v>6</v>
      </c>
      <c r="C47" s="1" t="s">
        <v>9</v>
      </c>
      <c r="D47" s="2">
        <v>0.375</v>
      </c>
      <c r="E47" s="1" t="s">
        <v>13</v>
      </c>
      <c r="F47">
        <v>96</v>
      </c>
      <c r="G47" s="3">
        <f>FLOOR(izpit[[#This Row],[točke]]/10,1)+1</f>
        <v>10</v>
      </c>
    </row>
    <row r="48" spans="1:7" x14ac:dyDescent="0.25">
      <c r="A48">
        <v>42417040</v>
      </c>
      <c r="B48" s="1" t="s">
        <v>11</v>
      </c>
      <c r="C48" s="1" t="s">
        <v>7</v>
      </c>
      <c r="D48" s="2">
        <v>0.5</v>
      </c>
      <c r="E48" s="1" t="s">
        <v>17</v>
      </c>
      <c r="F48">
        <v>63</v>
      </c>
      <c r="G48" s="3">
        <f>FLOOR(izpit[[#This Row],[točke]]/10,1)+1</f>
        <v>7</v>
      </c>
    </row>
    <row r="49" spans="1:7" x14ac:dyDescent="0.25">
      <c r="A49">
        <v>42430639</v>
      </c>
      <c r="B49" s="1" t="s">
        <v>10</v>
      </c>
      <c r="C49" s="1" t="s">
        <v>9</v>
      </c>
      <c r="D49" s="2">
        <v>0.5</v>
      </c>
      <c r="E49" s="1" t="s">
        <v>8</v>
      </c>
      <c r="F49">
        <v>74</v>
      </c>
      <c r="G49" s="3">
        <f>FLOOR(izpit[[#This Row],[točke]]/10,1)+1</f>
        <v>8</v>
      </c>
    </row>
    <row r="50" spans="1:7" x14ac:dyDescent="0.25">
      <c r="A50">
        <v>42432794</v>
      </c>
      <c r="B50" s="1" t="s">
        <v>10</v>
      </c>
      <c r="C50" s="1" t="s">
        <v>9</v>
      </c>
      <c r="D50" s="2">
        <v>0.5</v>
      </c>
      <c r="E50" s="1" t="s">
        <v>13</v>
      </c>
      <c r="F50">
        <v>95</v>
      </c>
      <c r="G50" s="3">
        <f>FLOOR(izpit[[#This Row],[točke]]/10,1)+1</f>
        <v>10</v>
      </c>
    </row>
    <row r="51" spans="1:7" x14ac:dyDescent="0.25">
      <c r="A51">
        <v>42441744</v>
      </c>
      <c r="B51" s="1" t="s">
        <v>12</v>
      </c>
      <c r="C51" s="1" t="s">
        <v>7</v>
      </c>
      <c r="D51" s="2">
        <v>0.5</v>
      </c>
      <c r="E51" s="1" t="s">
        <v>16</v>
      </c>
      <c r="F51">
        <v>83</v>
      </c>
      <c r="G51" s="3">
        <f>FLOOR(izpit[[#This Row],[točke]]/10,1)+1</f>
        <v>9</v>
      </c>
    </row>
    <row r="52" spans="1:7" x14ac:dyDescent="0.25">
      <c r="A52">
        <v>42452711</v>
      </c>
      <c r="B52" s="1" t="s">
        <v>11</v>
      </c>
      <c r="C52" s="1" t="s">
        <v>7</v>
      </c>
      <c r="D52" s="2">
        <v>0.375</v>
      </c>
      <c r="E52" s="1" t="s">
        <v>17</v>
      </c>
      <c r="F52">
        <v>89</v>
      </c>
      <c r="G52" s="3">
        <f>FLOOR(izpit[[#This Row],[točke]]/10,1)+1</f>
        <v>9</v>
      </c>
    </row>
    <row r="53" spans="1:7" x14ac:dyDescent="0.25">
      <c r="A53">
        <v>42459525</v>
      </c>
      <c r="B53" s="1" t="s">
        <v>14</v>
      </c>
      <c r="C53" s="1" t="s">
        <v>7</v>
      </c>
      <c r="D53" s="2">
        <v>0.5</v>
      </c>
      <c r="E53" s="1" t="s">
        <v>16</v>
      </c>
      <c r="F53">
        <v>50</v>
      </c>
      <c r="G53" s="3">
        <f>FLOOR(izpit[[#This Row],[točke]]/10,1)+1</f>
        <v>6</v>
      </c>
    </row>
    <row r="54" spans="1:7" x14ac:dyDescent="0.25">
      <c r="A54">
        <v>42480240</v>
      </c>
      <c r="B54" s="1" t="s">
        <v>11</v>
      </c>
      <c r="C54" s="1" t="s">
        <v>7</v>
      </c>
      <c r="D54" s="2">
        <v>0.375</v>
      </c>
      <c r="E54" s="1" t="s">
        <v>8</v>
      </c>
      <c r="F54">
        <v>93</v>
      </c>
      <c r="G54" s="3">
        <f>FLOOR(izpit[[#This Row],[točke]]/10,1)+1</f>
        <v>10</v>
      </c>
    </row>
    <row r="55" spans="1:7" x14ac:dyDescent="0.25">
      <c r="A55">
        <v>42492894</v>
      </c>
      <c r="B55" s="1" t="s">
        <v>11</v>
      </c>
      <c r="C55" s="1" t="s">
        <v>7</v>
      </c>
      <c r="D55" s="2">
        <v>0.375</v>
      </c>
      <c r="E55" s="1" t="s">
        <v>16</v>
      </c>
      <c r="F55">
        <v>65</v>
      </c>
      <c r="G55" s="3">
        <f>FLOOR(izpit[[#This Row],[točke]]/10,1)+1</f>
        <v>7</v>
      </c>
    </row>
    <row r="56" spans="1:7" x14ac:dyDescent="0.25">
      <c r="A56">
        <v>42495814</v>
      </c>
      <c r="B56" s="1" t="s">
        <v>11</v>
      </c>
      <c r="C56" s="1" t="s">
        <v>7</v>
      </c>
      <c r="D56" s="2">
        <v>0.375</v>
      </c>
      <c r="E56" s="1" t="s">
        <v>8</v>
      </c>
      <c r="F56">
        <v>87</v>
      </c>
      <c r="G56" s="3">
        <f>FLOOR(izpit[[#This Row],[točke]]/10,1)+1</f>
        <v>9</v>
      </c>
    </row>
    <row r="57" spans="1:7" x14ac:dyDescent="0.25">
      <c r="A57">
        <v>42509452</v>
      </c>
      <c r="B57" s="1" t="s">
        <v>6</v>
      </c>
      <c r="C57" s="1" t="s">
        <v>9</v>
      </c>
      <c r="D57" s="2">
        <v>0.5</v>
      </c>
      <c r="E57" s="1" t="s">
        <v>15</v>
      </c>
      <c r="F57">
        <v>72</v>
      </c>
      <c r="G57" s="3">
        <f>FLOOR(izpit[[#This Row],[točke]]/10,1)+1</f>
        <v>8</v>
      </c>
    </row>
    <row r="58" spans="1:7" x14ac:dyDescent="0.25">
      <c r="A58">
        <v>42510733</v>
      </c>
      <c r="B58" s="1" t="s">
        <v>10</v>
      </c>
      <c r="C58" s="1" t="s">
        <v>7</v>
      </c>
      <c r="D58" s="2">
        <v>0.5</v>
      </c>
      <c r="E58" s="1" t="s">
        <v>17</v>
      </c>
      <c r="F58">
        <v>61</v>
      </c>
      <c r="G58" s="3">
        <f>FLOOR(izpit[[#This Row],[točke]]/10,1)+1</f>
        <v>7</v>
      </c>
    </row>
    <row r="59" spans="1:7" x14ac:dyDescent="0.25">
      <c r="A59">
        <v>42520768</v>
      </c>
      <c r="B59" s="1" t="s">
        <v>11</v>
      </c>
      <c r="C59" s="1" t="s">
        <v>9</v>
      </c>
      <c r="D59" s="2">
        <v>0.375</v>
      </c>
      <c r="E59" s="1" t="s">
        <v>13</v>
      </c>
      <c r="F59">
        <v>58</v>
      </c>
      <c r="G59" s="3">
        <f>FLOOR(izpit[[#This Row],[točke]]/10,1)+1</f>
        <v>6</v>
      </c>
    </row>
    <row r="60" spans="1:7" x14ac:dyDescent="0.25">
      <c r="A60">
        <v>42527663</v>
      </c>
      <c r="B60" s="1" t="s">
        <v>10</v>
      </c>
      <c r="C60" s="1" t="s">
        <v>9</v>
      </c>
      <c r="D60" s="2">
        <v>0.5</v>
      </c>
      <c r="E60" s="1" t="s">
        <v>15</v>
      </c>
      <c r="F60">
        <v>34</v>
      </c>
      <c r="G60" s="3">
        <f>FLOOR(izpit[[#This Row],[točke]]/10,1)+1</f>
        <v>4</v>
      </c>
    </row>
    <row r="61" spans="1:7" x14ac:dyDescent="0.25">
      <c r="A61">
        <v>42529619</v>
      </c>
      <c r="B61" s="1" t="s">
        <v>11</v>
      </c>
      <c r="C61" s="1" t="s">
        <v>9</v>
      </c>
      <c r="D61" s="2">
        <v>0.375</v>
      </c>
      <c r="E61" s="1" t="s">
        <v>13</v>
      </c>
      <c r="F61">
        <v>63</v>
      </c>
      <c r="G61" s="3">
        <f>FLOOR(izpit[[#This Row],[točke]]/10,1)+1</f>
        <v>7</v>
      </c>
    </row>
    <row r="62" spans="1:7" x14ac:dyDescent="0.25">
      <c r="A62">
        <v>42533283</v>
      </c>
      <c r="B62" s="1" t="s">
        <v>14</v>
      </c>
      <c r="C62" s="1" t="s">
        <v>7</v>
      </c>
      <c r="D62" s="2">
        <v>0.5</v>
      </c>
      <c r="E62" s="1" t="s">
        <v>16</v>
      </c>
      <c r="F62">
        <v>56</v>
      </c>
      <c r="G62" s="3">
        <f>FLOOR(izpit[[#This Row],[točke]]/10,1)+1</f>
        <v>6</v>
      </c>
    </row>
    <row r="63" spans="1:7" x14ac:dyDescent="0.25">
      <c r="A63">
        <v>42544595</v>
      </c>
      <c r="B63" s="1" t="s">
        <v>10</v>
      </c>
      <c r="C63" s="1" t="s">
        <v>7</v>
      </c>
      <c r="D63" s="2">
        <v>0.375</v>
      </c>
      <c r="E63" s="1" t="s">
        <v>17</v>
      </c>
      <c r="F63">
        <v>39</v>
      </c>
      <c r="G63" s="3">
        <f>FLOOR(izpit[[#This Row],[točke]]/10,1)+1</f>
        <v>4</v>
      </c>
    </row>
    <row r="64" spans="1:7" x14ac:dyDescent="0.25">
      <c r="A64">
        <v>42551468</v>
      </c>
      <c r="B64" s="1" t="s">
        <v>12</v>
      </c>
      <c r="C64" s="1" t="s">
        <v>9</v>
      </c>
      <c r="D64" s="2">
        <v>0.5</v>
      </c>
      <c r="E64" s="1" t="s">
        <v>16</v>
      </c>
      <c r="F64">
        <v>50</v>
      </c>
      <c r="G64" s="3">
        <f>FLOOR(izpit[[#This Row],[točke]]/10,1)+1</f>
        <v>6</v>
      </c>
    </row>
    <row r="65" spans="1:7" x14ac:dyDescent="0.25">
      <c r="A65">
        <v>42568611</v>
      </c>
      <c r="B65" s="1" t="s">
        <v>6</v>
      </c>
      <c r="C65" s="1" t="s">
        <v>9</v>
      </c>
      <c r="D65" s="2">
        <v>0.5</v>
      </c>
      <c r="E65" s="1" t="s">
        <v>8</v>
      </c>
      <c r="F65">
        <v>64</v>
      </c>
      <c r="G65" s="3">
        <f>FLOOR(izpit[[#This Row],[točke]]/10,1)+1</f>
        <v>7</v>
      </c>
    </row>
    <row r="66" spans="1:7" x14ac:dyDescent="0.25">
      <c r="A66">
        <v>42573808</v>
      </c>
      <c r="B66" s="1" t="s">
        <v>11</v>
      </c>
      <c r="C66" s="1" t="s">
        <v>9</v>
      </c>
      <c r="D66" s="2">
        <v>0.5</v>
      </c>
      <c r="E66" s="1" t="s">
        <v>8</v>
      </c>
      <c r="F66">
        <v>88</v>
      </c>
      <c r="G66" s="3">
        <f>FLOOR(izpit[[#This Row],[točke]]/10,1)+1</f>
        <v>9</v>
      </c>
    </row>
    <row r="67" spans="1:7" x14ac:dyDescent="0.25">
      <c r="A67">
        <v>42574445</v>
      </c>
      <c r="B67" s="1" t="s">
        <v>14</v>
      </c>
      <c r="C67" s="1" t="s">
        <v>9</v>
      </c>
      <c r="D67" s="2">
        <v>0.5</v>
      </c>
      <c r="E67" s="1" t="s">
        <v>16</v>
      </c>
      <c r="F67">
        <v>96</v>
      </c>
      <c r="G67" s="3">
        <f>FLOOR(izpit[[#This Row],[točke]]/10,1)+1</f>
        <v>10</v>
      </c>
    </row>
    <row r="68" spans="1:7" x14ac:dyDescent="0.25">
      <c r="A68">
        <v>42575161</v>
      </c>
      <c r="B68" s="1" t="s">
        <v>12</v>
      </c>
      <c r="C68" s="1" t="s">
        <v>7</v>
      </c>
      <c r="D68" s="2">
        <v>0.375</v>
      </c>
      <c r="E68" s="1" t="s">
        <v>8</v>
      </c>
      <c r="F68">
        <v>46</v>
      </c>
      <c r="G68" s="3">
        <f>FLOOR(izpit[[#This Row],[točke]]/10,1)+1</f>
        <v>5</v>
      </c>
    </row>
    <row r="69" spans="1:7" x14ac:dyDescent="0.25">
      <c r="A69">
        <v>42583141</v>
      </c>
      <c r="B69" s="1" t="s">
        <v>6</v>
      </c>
      <c r="C69" s="1" t="s">
        <v>9</v>
      </c>
      <c r="D69" s="2">
        <v>0.375</v>
      </c>
      <c r="E69" s="1" t="s">
        <v>13</v>
      </c>
      <c r="F69">
        <v>69</v>
      </c>
      <c r="G69" s="3">
        <f>FLOOR(izpit[[#This Row],[točke]]/10,1)+1</f>
        <v>7</v>
      </c>
    </row>
    <row r="70" spans="1:7" x14ac:dyDescent="0.25">
      <c r="A70">
        <v>42586867</v>
      </c>
      <c r="B70" s="1" t="s">
        <v>11</v>
      </c>
      <c r="C70" s="1" t="s">
        <v>9</v>
      </c>
      <c r="D70" s="2">
        <v>0.5</v>
      </c>
      <c r="E70" s="1" t="s">
        <v>15</v>
      </c>
      <c r="F70">
        <v>92</v>
      </c>
      <c r="G70" s="3">
        <f>FLOOR(izpit[[#This Row],[točke]]/10,1)+1</f>
        <v>10</v>
      </c>
    </row>
    <row r="71" spans="1:7" x14ac:dyDescent="0.25">
      <c r="A71">
        <v>42591438</v>
      </c>
      <c r="B71" s="1" t="s">
        <v>11</v>
      </c>
      <c r="C71" s="1" t="s">
        <v>9</v>
      </c>
      <c r="D71" s="2">
        <v>0.5</v>
      </c>
      <c r="E71" s="1" t="s">
        <v>13</v>
      </c>
      <c r="F71">
        <v>73</v>
      </c>
      <c r="G71" s="3">
        <f>FLOOR(izpit[[#This Row],[točke]]/10,1)+1</f>
        <v>8</v>
      </c>
    </row>
    <row r="72" spans="1:7" x14ac:dyDescent="0.25">
      <c r="A72">
        <v>42620407</v>
      </c>
      <c r="B72" s="1" t="s">
        <v>11</v>
      </c>
      <c r="C72" s="1" t="s">
        <v>7</v>
      </c>
      <c r="D72" s="2">
        <v>0.5</v>
      </c>
      <c r="E72" s="1" t="s">
        <v>17</v>
      </c>
      <c r="F72">
        <v>34</v>
      </c>
      <c r="G72" s="3">
        <f>FLOOR(izpit[[#This Row],[točke]]/10,1)+1</f>
        <v>4</v>
      </c>
    </row>
    <row r="73" spans="1:7" x14ac:dyDescent="0.25">
      <c r="A73">
        <v>42629108</v>
      </c>
      <c r="B73" s="1" t="s">
        <v>6</v>
      </c>
      <c r="C73" s="1" t="s">
        <v>9</v>
      </c>
      <c r="D73" s="2">
        <v>0.375</v>
      </c>
      <c r="E73" s="1" t="s">
        <v>13</v>
      </c>
      <c r="F73">
        <v>48</v>
      </c>
      <c r="G73" s="3">
        <f>FLOOR(izpit[[#This Row],[točke]]/10,1)+1</f>
        <v>5</v>
      </c>
    </row>
    <row r="74" spans="1:7" x14ac:dyDescent="0.25">
      <c r="A74">
        <v>42632945</v>
      </c>
      <c r="B74" s="1" t="s">
        <v>6</v>
      </c>
      <c r="C74" s="1" t="s">
        <v>7</v>
      </c>
      <c r="D74" s="2">
        <v>0.375</v>
      </c>
      <c r="E74" s="1" t="s">
        <v>17</v>
      </c>
      <c r="F74">
        <v>71</v>
      </c>
      <c r="G74" s="3">
        <f>FLOOR(izpit[[#This Row],[točke]]/10,1)+1</f>
        <v>8</v>
      </c>
    </row>
    <row r="75" spans="1:7" x14ac:dyDescent="0.25">
      <c r="A75">
        <v>42640769</v>
      </c>
      <c r="B75" s="1" t="s">
        <v>6</v>
      </c>
      <c r="C75" s="1" t="s">
        <v>9</v>
      </c>
      <c r="D75" s="2">
        <v>0.5</v>
      </c>
      <c r="E75" s="1" t="s">
        <v>16</v>
      </c>
      <c r="F75">
        <v>93</v>
      </c>
      <c r="G75" s="3">
        <f>FLOOR(izpit[[#This Row],[točke]]/10,1)+1</f>
        <v>10</v>
      </c>
    </row>
    <row r="76" spans="1:7" x14ac:dyDescent="0.25">
      <c r="A76">
        <v>42642091</v>
      </c>
      <c r="B76" s="1" t="s">
        <v>12</v>
      </c>
      <c r="C76" s="1" t="s">
        <v>7</v>
      </c>
      <c r="D76" s="2">
        <v>0.5</v>
      </c>
      <c r="E76" s="1" t="s">
        <v>17</v>
      </c>
      <c r="F76">
        <v>41</v>
      </c>
      <c r="G76" s="3">
        <f>FLOOR(izpit[[#This Row],[točke]]/10,1)+1</f>
        <v>5</v>
      </c>
    </row>
    <row r="77" spans="1:7" x14ac:dyDescent="0.25">
      <c r="A77">
        <v>42651258</v>
      </c>
      <c r="B77" s="1" t="s">
        <v>6</v>
      </c>
      <c r="C77" s="1" t="s">
        <v>9</v>
      </c>
      <c r="D77" s="2">
        <v>0.5</v>
      </c>
      <c r="E77" s="1" t="s">
        <v>15</v>
      </c>
      <c r="F77">
        <v>43</v>
      </c>
      <c r="G77" s="3">
        <f>FLOOR(izpit[[#This Row],[točke]]/10,1)+1</f>
        <v>5</v>
      </c>
    </row>
    <row r="78" spans="1:7" x14ac:dyDescent="0.25">
      <c r="A78">
        <v>42668357</v>
      </c>
      <c r="B78" s="1" t="s">
        <v>6</v>
      </c>
      <c r="C78" s="1" t="s">
        <v>9</v>
      </c>
      <c r="D78" s="2">
        <v>0.5</v>
      </c>
      <c r="E78" s="1" t="s">
        <v>8</v>
      </c>
      <c r="F78">
        <v>71</v>
      </c>
      <c r="G78" s="3">
        <f>FLOOR(izpit[[#This Row],[točke]]/10,1)+1</f>
        <v>8</v>
      </c>
    </row>
    <row r="79" spans="1:7" x14ac:dyDescent="0.25">
      <c r="A79">
        <v>42679032</v>
      </c>
      <c r="B79" s="1" t="s">
        <v>6</v>
      </c>
      <c r="C79" s="1" t="s">
        <v>7</v>
      </c>
      <c r="D79" s="2">
        <v>0.375</v>
      </c>
      <c r="E79" s="1" t="s">
        <v>16</v>
      </c>
      <c r="F79">
        <v>45</v>
      </c>
      <c r="G79" s="3">
        <f>FLOOR(izpit[[#This Row],[točke]]/10,1)+1</f>
        <v>5</v>
      </c>
    </row>
    <row r="80" spans="1:7" x14ac:dyDescent="0.25">
      <c r="A80">
        <v>42689196</v>
      </c>
      <c r="B80" s="1" t="s">
        <v>14</v>
      </c>
      <c r="C80" s="1" t="s">
        <v>9</v>
      </c>
      <c r="D80" s="2">
        <v>0.5</v>
      </c>
      <c r="E80" s="1" t="s">
        <v>13</v>
      </c>
      <c r="F80">
        <v>35</v>
      </c>
      <c r="G80" s="3">
        <f>FLOOR(izpit[[#This Row],[točke]]/10,1)+1</f>
        <v>4</v>
      </c>
    </row>
    <row r="81" spans="1:7" x14ac:dyDescent="0.25">
      <c r="A81">
        <v>42689337</v>
      </c>
      <c r="B81" s="1" t="s">
        <v>11</v>
      </c>
      <c r="C81" s="1" t="s">
        <v>7</v>
      </c>
      <c r="D81" s="2">
        <v>0.375</v>
      </c>
      <c r="E81" s="1" t="s">
        <v>16</v>
      </c>
      <c r="F81">
        <v>74</v>
      </c>
      <c r="G81" s="3">
        <f>FLOOR(izpit[[#This Row],[točke]]/10,1)+1</f>
        <v>8</v>
      </c>
    </row>
    <row r="82" spans="1:7" x14ac:dyDescent="0.25">
      <c r="A82">
        <v>42689447</v>
      </c>
      <c r="B82" s="1" t="s">
        <v>12</v>
      </c>
      <c r="C82" s="1" t="s">
        <v>9</v>
      </c>
      <c r="D82" s="2">
        <v>0.5</v>
      </c>
      <c r="E82" s="1" t="s">
        <v>16</v>
      </c>
      <c r="F82">
        <v>41</v>
      </c>
      <c r="G82" s="3">
        <f>FLOOR(izpit[[#This Row],[točke]]/10,1)+1</f>
        <v>5</v>
      </c>
    </row>
    <row r="83" spans="1:7" x14ac:dyDescent="0.25">
      <c r="A83">
        <v>42697404</v>
      </c>
      <c r="B83" s="1" t="s">
        <v>6</v>
      </c>
      <c r="C83" s="1" t="s">
        <v>9</v>
      </c>
      <c r="D83" s="2">
        <v>0.375</v>
      </c>
      <c r="E83" s="1" t="s">
        <v>13</v>
      </c>
      <c r="F83">
        <v>44</v>
      </c>
      <c r="G83" s="3">
        <f>FLOOR(izpit[[#This Row],[točke]]/10,1)+1</f>
        <v>5</v>
      </c>
    </row>
    <row r="84" spans="1:7" x14ac:dyDescent="0.25">
      <c r="A84">
        <v>42704979</v>
      </c>
      <c r="B84" s="1" t="s">
        <v>6</v>
      </c>
      <c r="C84" s="1" t="s">
        <v>7</v>
      </c>
      <c r="D84" s="2">
        <v>0.375</v>
      </c>
      <c r="E84" s="1" t="s">
        <v>16</v>
      </c>
      <c r="F84">
        <v>36</v>
      </c>
      <c r="G84" s="3">
        <f>FLOOR(izpit[[#This Row],[točke]]/10,1)+1</f>
        <v>4</v>
      </c>
    </row>
    <row r="85" spans="1:7" x14ac:dyDescent="0.25">
      <c r="A85">
        <v>42726483</v>
      </c>
      <c r="B85" s="1" t="s">
        <v>11</v>
      </c>
      <c r="C85" s="1" t="s">
        <v>7</v>
      </c>
      <c r="D85" s="2">
        <v>0.5</v>
      </c>
      <c r="E85" s="1" t="s">
        <v>17</v>
      </c>
      <c r="F85">
        <v>36</v>
      </c>
      <c r="G85" s="3">
        <f>FLOOR(izpit[[#This Row],[točke]]/10,1)+1</f>
        <v>4</v>
      </c>
    </row>
    <row r="86" spans="1:7" x14ac:dyDescent="0.25">
      <c r="A86">
        <v>42737836</v>
      </c>
      <c r="B86" s="1" t="s">
        <v>11</v>
      </c>
      <c r="C86" s="1" t="s">
        <v>7</v>
      </c>
      <c r="D86" s="2">
        <v>0.5</v>
      </c>
      <c r="E86" s="1" t="s">
        <v>16</v>
      </c>
      <c r="F86">
        <v>39</v>
      </c>
      <c r="G86" s="3">
        <f>FLOOR(izpit[[#This Row],[točke]]/10,1)+1</f>
        <v>4</v>
      </c>
    </row>
    <row r="87" spans="1:7" x14ac:dyDescent="0.25">
      <c r="A87">
        <v>42742584</v>
      </c>
      <c r="B87" s="1" t="s">
        <v>12</v>
      </c>
      <c r="C87" s="1" t="s">
        <v>9</v>
      </c>
      <c r="D87" s="2">
        <v>0.5</v>
      </c>
      <c r="E87" s="1" t="s">
        <v>13</v>
      </c>
      <c r="F87">
        <v>65</v>
      </c>
      <c r="G87" s="3">
        <f>FLOOR(izpit[[#This Row],[točke]]/10,1)+1</f>
        <v>7</v>
      </c>
    </row>
    <row r="88" spans="1:7" x14ac:dyDescent="0.25">
      <c r="A88">
        <v>42745979</v>
      </c>
      <c r="B88" s="1" t="s">
        <v>6</v>
      </c>
      <c r="C88" s="1" t="s">
        <v>7</v>
      </c>
      <c r="D88" s="2">
        <v>0.375</v>
      </c>
      <c r="E88" s="1" t="s">
        <v>16</v>
      </c>
      <c r="F88">
        <v>77</v>
      </c>
      <c r="G88" s="3">
        <f>FLOOR(izpit[[#This Row],[točke]]/10,1)+1</f>
        <v>8</v>
      </c>
    </row>
    <row r="89" spans="1:7" x14ac:dyDescent="0.25">
      <c r="A89">
        <v>42752962</v>
      </c>
      <c r="B89" s="1" t="s">
        <v>10</v>
      </c>
      <c r="C89" s="1" t="s">
        <v>9</v>
      </c>
      <c r="D89" s="2">
        <v>0.5</v>
      </c>
      <c r="E89" s="1" t="s">
        <v>13</v>
      </c>
      <c r="F89">
        <v>60</v>
      </c>
      <c r="G89" s="3">
        <f>FLOOR(izpit[[#This Row],[točke]]/10,1)+1</f>
        <v>7</v>
      </c>
    </row>
    <row r="90" spans="1:7" x14ac:dyDescent="0.25">
      <c r="A90">
        <v>42755840</v>
      </c>
      <c r="B90" s="1" t="s">
        <v>6</v>
      </c>
      <c r="C90" s="1" t="s">
        <v>7</v>
      </c>
      <c r="D90" s="2">
        <v>0.5</v>
      </c>
      <c r="E90" s="1" t="s">
        <v>17</v>
      </c>
      <c r="F90">
        <v>47</v>
      </c>
      <c r="G90" s="3">
        <f>FLOOR(izpit[[#This Row],[točke]]/10,1)+1</f>
        <v>5</v>
      </c>
    </row>
    <row r="91" spans="1:7" x14ac:dyDescent="0.25">
      <c r="A91">
        <v>42757845</v>
      </c>
      <c r="B91" s="1" t="s">
        <v>6</v>
      </c>
      <c r="C91" s="1" t="s">
        <v>7</v>
      </c>
      <c r="D91" s="2">
        <v>0.5</v>
      </c>
      <c r="E91" s="1" t="s">
        <v>17</v>
      </c>
      <c r="F91">
        <v>39</v>
      </c>
      <c r="G91" s="3">
        <f>FLOOR(izpit[[#This Row],[točke]]/10,1)+1</f>
        <v>4</v>
      </c>
    </row>
    <row r="92" spans="1:7" x14ac:dyDescent="0.25">
      <c r="A92">
        <v>42759042</v>
      </c>
      <c r="B92" s="1" t="s">
        <v>11</v>
      </c>
      <c r="C92" s="1" t="s">
        <v>9</v>
      </c>
      <c r="D92" s="2">
        <v>0.375</v>
      </c>
      <c r="E92" s="1" t="s">
        <v>8</v>
      </c>
      <c r="F92">
        <v>59</v>
      </c>
      <c r="G92" s="3">
        <f>FLOOR(izpit[[#This Row],[točke]]/10,1)+1</f>
        <v>6</v>
      </c>
    </row>
    <row r="93" spans="1:7" x14ac:dyDescent="0.25">
      <c r="A93">
        <v>42765443</v>
      </c>
      <c r="B93" s="1" t="s">
        <v>11</v>
      </c>
      <c r="C93" s="1" t="s">
        <v>9</v>
      </c>
      <c r="D93" s="2">
        <v>0.5</v>
      </c>
      <c r="E93" s="1" t="s">
        <v>13</v>
      </c>
      <c r="F93">
        <v>64</v>
      </c>
      <c r="G93" s="3">
        <f>FLOOR(izpit[[#This Row],[točke]]/10,1)+1</f>
        <v>7</v>
      </c>
    </row>
    <row r="94" spans="1:7" x14ac:dyDescent="0.25">
      <c r="A94">
        <v>42795786</v>
      </c>
      <c r="B94" s="1" t="s">
        <v>12</v>
      </c>
      <c r="C94" s="1" t="s">
        <v>7</v>
      </c>
      <c r="D94" s="2">
        <v>0.5</v>
      </c>
      <c r="E94" s="1" t="s">
        <v>17</v>
      </c>
      <c r="F94">
        <v>32</v>
      </c>
      <c r="G94" s="3">
        <f>FLOOR(izpit[[#This Row],[točke]]/10,1)+1</f>
        <v>4</v>
      </c>
    </row>
    <row r="95" spans="1:7" x14ac:dyDescent="0.25">
      <c r="A95">
        <v>42815566</v>
      </c>
      <c r="B95" s="1" t="s">
        <v>6</v>
      </c>
      <c r="C95" s="1" t="s">
        <v>9</v>
      </c>
      <c r="D95" s="2">
        <v>0.375</v>
      </c>
      <c r="E95" s="1" t="s">
        <v>13</v>
      </c>
      <c r="F95">
        <v>48</v>
      </c>
      <c r="G95" s="3">
        <f>FLOOR(izpit[[#This Row],[točke]]/10,1)+1</f>
        <v>5</v>
      </c>
    </row>
    <row r="96" spans="1:7" x14ac:dyDescent="0.25">
      <c r="A96">
        <v>42822891</v>
      </c>
      <c r="B96" s="1" t="s">
        <v>12</v>
      </c>
      <c r="C96" s="1" t="s">
        <v>9</v>
      </c>
      <c r="D96" s="2">
        <v>0.5</v>
      </c>
      <c r="E96" s="1" t="s">
        <v>15</v>
      </c>
      <c r="F96">
        <v>31</v>
      </c>
      <c r="G96" s="3">
        <f>FLOOR(izpit[[#This Row],[točke]]/10,1)+1</f>
        <v>4</v>
      </c>
    </row>
    <row r="97" spans="1:7" x14ac:dyDescent="0.25">
      <c r="A97">
        <v>42825177</v>
      </c>
      <c r="B97" s="1" t="s">
        <v>11</v>
      </c>
      <c r="C97" s="1" t="s">
        <v>7</v>
      </c>
      <c r="D97" s="2">
        <v>0.375</v>
      </c>
      <c r="E97" s="1" t="s">
        <v>17</v>
      </c>
      <c r="F97">
        <v>51</v>
      </c>
      <c r="G97" s="3">
        <f>FLOOR(izpit[[#This Row],[točke]]/10,1)+1</f>
        <v>6</v>
      </c>
    </row>
    <row r="98" spans="1:7" x14ac:dyDescent="0.25">
      <c r="A98">
        <v>42826959</v>
      </c>
      <c r="B98" s="1" t="s">
        <v>6</v>
      </c>
      <c r="C98" s="1" t="s">
        <v>7</v>
      </c>
      <c r="D98" s="2">
        <v>0.375</v>
      </c>
      <c r="E98" s="1" t="s">
        <v>17</v>
      </c>
      <c r="F98">
        <v>39</v>
      </c>
      <c r="G98" s="3">
        <f>FLOOR(izpit[[#This Row],[točke]]/10,1)+1</f>
        <v>4</v>
      </c>
    </row>
    <row r="99" spans="1:7" x14ac:dyDescent="0.25">
      <c r="A99">
        <v>42828074</v>
      </c>
      <c r="B99" s="1" t="s">
        <v>11</v>
      </c>
      <c r="C99" s="1" t="s">
        <v>7</v>
      </c>
      <c r="D99" s="2">
        <v>0.375</v>
      </c>
      <c r="E99" s="1" t="s">
        <v>17</v>
      </c>
      <c r="F99">
        <v>30</v>
      </c>
      <c r="G99" s="3">
        <f>FLOOR(izpit[[#This Row],[točke]]/10,1)+1</f>
        <v>4</v>
      </c>
    </row>
    <row r="100" spans="1:7" x14ac:dyDescent="0.25">
      <c r="A100">
        <v>42862473</v>
      </c>
      <c r="B100" s="1" t="s">
        <v>11</v>
      </c>
      <c r="C100" s="1" t="s">
        <v>7</v>
      </c>
      <c r="D100" s="2">
        <v>0.5</v>
      </c>
      <c r="E100" s="1" t="s">
        <v>16</v>
      </c>
      <c r="F100">
        <v>37</v>
      </c>
      <c r="G100" s="3">
        <f>FLOOR(izpit[[#This Row],[točke]]/10,1)+1</f>
        <v>4</v>
      </c>
    </row>
    <row r="101" spans="1:7" x14ac:dyDescent="0.25">
      <c r="A101">
        <v>42865185</v>
      </c>
      <c r="B101" s="1" t="s">
        <v>6</v>
      </c>
      <c r="C101" s="1" t="s">
        <v>9</v>
      </c>
      <c r="D101" s="2">
        <v>0.5</v>
      </c>
      <c r="E101" s="1" t="s">
        <v>13</v>
      </c>
      <c r="F101">
        <v>76</v>
      </c>
      <c r="G101" s="3">
        <f>FLOOR(izpit[[#This Row],[točke]]/10,1)+1</f>
        <v>8</v>
      </c>
    </row>
    <row r="102" spans="1:7" x14ac:dyDescent="0.25">
      <c r="A102">
        <v>42874645</v>
      </c>
      <c r="B102" s="1" t="s">
        <v>10</v>
      </c>
      <c r="C102" s="1" t="s">
        <v>7</v>
      </c>
      <c r="D102" s="2">
        <v>0.5</v>
      </c>
      <c r="E102" s="1" t="s">
        <v>17</v>
      </c>
      <c r="F102">
        <v>57</v>
      </c>
      <c r="G102" s="3">
        <f>FLOOR(izpit[[#This Row],[točke]]/10,1)+1</f>
        <v>6</v>
      </c>
    </row>
    <row r="103" spans="1:7" x14ac:dyDescent="0.25">
      <c r="A103">
        <v>42874736</v>
      </c>
      <c r="B103" s="1" t="s">
        <v>11</v>
      </c>
      <c r="C103" s="1" t="s">
        <v>7</v>
      </c>
      <c r="D103" s="2">
        <v>0.375</v>
      </c>
      <c r="E103" s="1" t="s">
        <v>16</v>
      </c>
      <c r="F103">
        <v>92</v>
      </c>
      <c r="G103" s="3">
        <f>FLOOR(izpit[[#This Row],[točke]]/10,1)+1</f>
        <v>10</v>
      </c>
    </row>
    <row r="104" spans="1:7" x14ac:dyDescent="0.25">
      <c r="A104">
        <v>42880984</v>
      </c>
      <c r="B104" s="1" t="s">
        <v>10</v>
      </c>
      <c r="C104" s="1" t="s">
        <v>9</v>
      </c>
      <c r="D104" s="2">
        <v>0.5</v>
      </c>
      <c r="E104" s="1" t="s">
        <v>8</v>
      </c>
      <c r="F104">
        <v>67</v>
      </c>
      <c r="G104" s="3">
        <f>FLOOR(izpit[[#This Row],[točke]]/10,1)+1</f>
        <v>7</v>
      </c>
    </row>
    <row r="105" spans="1:7" x14ac:dyDescent="0.25">
      <c r="A105">
        <v>42892400</v>
      </c>
      <c r="B105" s="1" t="s">
        <v>12</v>
      </c>
      <c r="C105" s="1" t="s">
        <v>7</v>
      </c>
      <c r="D105" s="2">
        <v>0.375</v>
      </c>
      <c r="E105" s="1" t="s">
        <v>16</v>
      </c>
      <c r="F105">
        <v>53</v>
      </c>
      <c r="G105" s="3">
        <f>FLOOR(izpit[[#This Row],[točke]]/10,1)+1</f>
        <v>6</v>
      </c>
    </row>
    <row r="106" spans="1:7" x14ac:dyDescent="0.25">
      <c r="A106">
        <v>42894527</v>
      </c>
      <c r="B106" s="1" t="s">
        <v>11</v>
      </c>
      <c r="C106" s="1" t="s">
        <v>7</v>
      </c>
      <c r="D106" s="2">
        <v>0.5</v>
      </c>
      <c r="E106" s="1" t="s">
        <v>16</v>
      </c>
      <c r="F106">
        <v>33</v>
      </c>
      <c r="G106" s="3">
        <f>FLOOR(izpit[[#This Row],[točke]]/10,1)+1</f>
        <v>4</v>
      </c>
    </row>
    <row r="107" spans="1:7" x14ac:dyDescent="0.25">
      <c r="A107">
        <v>42898258</v>
      </c>
      <c r="B107" s="1" t="s">
        <v>11</v>
      </c>
      <c r="C107" s="1" t="s">
        <v>9</v>
      </c>
      <c r="D107" s="2">
        <v>0.5</v>
      </c>
      <c r="E107" s="1" t="s">
        <v>8</v>
      </c>
      <c r="F107">
        <v>35</v>
      </c>
      <c r="G107" s="3">
        <f>FLOOR(izpit[[#This Row],[točke]]/10,1)+1</f>
        <v>4</v>
      </c>
    </row>
    <row r="108" spans="1:7" x14ac:dyDescent="0.25">
      <c r="A108">
        <v>42945250</v>
      </c>
      <c r="B108" s="1" t="s">
        <v>10</v>
      </c>
      <c r="C108" s="1" t="s">
        <v>9</v>
      </c>
      <c r="D108" s="2">
        <v>0.5</v>
      </c>
      <c r="E108" s="1" t="s">
        <v>8</v>
      </c>
      <c r="F108">
        <v>70</v>
      </c>
      <c r="G108" s="3">
        <f>FLOOR(izpit[[#This Row],[točke]]/10,1)+1</f>
        <v>8</v>
      </c>
    </row>
    <row r="109" spans="1:7" x14ac:dyDescent="0.25">
      <c r="A109">
        <v>42948258</v>
      </c>
      <c r="B109" s="1" t="s">
        <v>11</v>
      </c>
      <c r="C109" s="1" t="s">
        <v>7</v>
      </c>
      <c r="D109" s="2">
        <v>0.375</v>
      </c>
      <c r="E109" s="1" t="s">
        <v>17</v>
      </c>
      <c r="F109">
        <v>97</v>
      </c>
      <c r="G109" s="3">
        <f>FLOOR(izpit[[#This Row],[točke]]/10,1)+1</f>
        <v>10</v>
      </c>
    </row>
    <row r="110" spans="1:7" x14ac:dyDescent="0.25">
      <c r="A110">
        <v>42970318</v>
      </c>
      <c r="B110" s="1" t="s">
        <v>10</v>
      </c>
      <c r="C110" s="1" t="s">
        <v>9</v>
      </c>
      <c r="D110" s="2">
        <v>0.5</v>
      </c>
      <c r="E110" s="1" t="s">
        <v>8</v>
      </c>
      <c r="F110">
        <v>71</v>
      </c>
      <c r="G110" s="3">
        <f>FLOOR(izpit[[#This Row],[točke]]/10,1)+1</f>
        <v>8</v>
      </c>
    </row>
    <row r="111" spans="1:7" x14ac:dyDescent="0.25">
      <c r="A111">
        <v>42975170</v>
      </c>
      <c r="B111" s="1" t="s">
        <v>6</v>
      </c>
      <c r="C111" s="1" t="s">
        <v>9</v>
      </c>
      <c r="D111" s="2">
        <v>0.375</v>
      </c>
      <c r="E111" s="1" t="s">
        <v>8</v>
      </c>
      <c r="F111">
        <v>84</v>
      </c>
      <c r="G111" s="3">
        <f>FLOOR(izpit[[#This Row],[točke]]/10,1)+1</f>
        <v>9</v>
      </c>
    </row>
    <row r="112" spans="1:7" x14ac:dyDescent="0.25">
      <c r="A112">
        <v>42983195</v>
      </c>
      <c r="B112" s="1" t="s">
        <v>6</v>
      </c>
      <c r="C112" s="1" t="s">
        <v>9</v>
      </c>
      <c r="D112" s="2">
        <v>0.5</v>
      </c>
      <c r="E112" s="1" t="s">
        <v>13</v>
      </c>
      <c r="F112">
        <v>73</v>
      </c>
      <c r="G112" s="3">
        <f>FLOOR(izpit[[#This Row],[točke]]/10,1)+1</f>
        <v>8</v>
      </c>
    </row>
    <row r="113" spans="1:7" x14ac:dyDescent="0.25">
      <c r="A113">
        <v>42996428</v>
      </c>
      <c r="B113" s="1" t="s">
        <v>10</v>
      </c>
      <c r="C113" s="1" t="s">
        <v>9</v>
      </c>
      <c r="D113" s="2">
        <v>0.5</v>
      </c>
      <c r="E113" s="1" t="s">
        <v>16</v>
      </c>
      <c r="F113">
        <v>99</v>
      </c>
      <c r="G113" s="3">
        <f>FLOOR(izpit[[#This Row],[točke]]/10,1)+1</f>
        <v>10</v>
      </c>
    </row>
    <row r="114" spans="1:7" x14ac:dyDescent="0.25">
      <c r="A114">
        <v>42998925</v>
      </c>
      <c r="B114" s="1" t="s">
        <v>6</v>
      </c>
      <c r="C114" s="1" t="s">
        <v>9</v>
      </c>
      <c r="D114" s="2">
        <v>0.5</v>
      </c>
      <c r="E114" s="1" t="s">
        <v>8</v>
      </c>
      <c r="F114">
        <v>75</v>
      </c>
      <c r="G114" s="3">
        <f>FLOOR(izpit[[#This Row],[točke]]/10,1)+1</f>
        <v>8</v>
      </c>
    </row>
  </sheetData>
  <conditionalFormatting sqref="B2">
    <cfRule type="cellIs" dxfId="6" priority="2" operator="equal">
      <formula>"svoj"</formula>
    </cfRule>
  </conditionalFormatting>
  <conditionalFormatting sqref="C2:C114">
    <cfRule type="cellIs" dxfId="5" priority="1" operator="equal">
      <formula>"svoj"</formula>
    </cfRule>
  </conditionalFormatting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2E79-60FE-4392-95D0-4CD765C3B6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A27E9-94DF-41A0-B2CF-7F2393034C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izpit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Jamnik, Matej</dc:creator>
  <cp:lastModifiedBy>Jamnik, Matej</cp:lastModifiedBy>
  <dcterms:created xsi:type="dcterms:W3CDTF">2026-01-28T11:25:23Z</dcterms:created>
  <dcterms:modified xsi:type="dcterms:W3CDTF">2026-01-28T13:05:39Z</dcterms:modified>
</cp:coreProperties>
</file>